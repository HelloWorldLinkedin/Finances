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jiang/OneDrive/Past/Work/Personal/"/>
    </mc:Choice>
  </mc:AlternateContent>
  <xr:revisionPtr revIDLastSave="34770" documentId="10_ncr:8100000_{75FDC6B8-A795-4885-9B48-9B2AFDF4A589}" xr6:coauthVersionLast="40" xr6:coauthVersionMax="40" xr10:uidLastSave="{11ED460F-C881-E340-A231-618F45042E68}"/>
  <bookViews>
    <workbookView xWindow="0" yWindow="460" windowWidth="68800" windowHeight="27320" tabRatio="848" xr2:uid="{00000000-000D-0000-FFFF-FFFF00000000}"/>
  </bookViews>
  <sheets>
    <sheet name="FPosition" sheetId="2" r:id="rId1"/>
    <sheet name="Westpac" sheetId="7" r:id="rId2"/>
    <sheet name="Westpac Saving" sheetId="14" r:id="rId3"/>
    <sheet name="Westpac Cash" sheetId="17" r:id="rId4"/>
    <sheet name="Investment" sheetId="18" r:id="rId5"/>
    <sheet name="Citibank" sheetId="8" r:id="rId6"/>
    <sheet name="Raiz" sheetId="13" r:id="rId7"/>
    <sheet name="Salary" sheetId="6" r:id="rId8"/>
    <sheet name="Tax" sheetId="3" r:id="rId9"/>
    <sheet name="Calculations" sheetId="15" r:id="rId10"/>
    <sheet name="Stock" sheetId="19" state="hidden" r:id="rId11"/>
    <sheet name="SNum" sheetId="20" state="hidden" r:id="rId12"/>
    <sheet name="Statistic" sheetId="22" r:id="rId13"/>
  </sheets>
  <functionGroups builtInGroupCount="19"/>
  <definedNames>
    <definedName name="_xlnm._FilterDatabase" localSheetId="5" hidden="1">Citibank!$A$1:$D$1</definedName>
    <definedName name="_xlnm._FilterDatabase" localSheetId="0" hidden="1">FPosition!$P$45:$Q$50</definedName>
    <definedName name="_xlnm._FilterDatabase" localSheetId="6" hidden="1">Raiz!$A$1:$D$1</definedName>
    <definedName name="_xlnm._FilterDatabase" localSheetId="1" hidden="1">Westpac!$A$1:$D$1</definedName>
    <definedName name="_xlnm._FilterDatabase" localSheetId="2" hidden="1">'Westpac Saving'!$A$1:$D$1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2" i="6" l="1"/>
  <c r="S51" i="2" l="1"/>
  <c r="R51" i="2" s="1"/>
  <c r="V46" i="2"/>
  <c r="V47" i="2"/>
  <c r="V48" i="2"/>
  <c r="V49" i="2"/>
  <c r="V50" i="2"/>
  <c r="V51" i="2"/>
  <c r="W66" i="2" s="1"/>
  <c r="W67" i="2" s="1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45" i="2"/>
  <c r="W65" i="2"/>
  <c r="T54" i="2"/>
  <c r="R46" i="2"/>
  <c r="R47" i="2"/>
  <c r="R48" i="2"/>
  <c r="R49" i="2"/>
  <c r="R50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45" i="2"/>
  <c r="T46" i="2"/>
  <c r="T47" i="2"/>
  <c r="T48" i="2"/>
  <c r="T49" i="2"/>
  <c r="T50" i="2"/>
  <c r="T51" i="2"/>
  <c r="U66" i="2" s="1"/>
  <c r="U67" i="2" s="1"/>
  <c r="T52" i="2"/>
  <c r="T53" i="2"/>
  <c r="T55" i="2"/>
  <c r="T56" i="2"/>
  <c r="T57" i="2"/>
  <c r="T58" i="2"/>
  <c r="T59" i="2"/>
  <c r="T60" i="2"/>
  <c r="T61" i="2"/>
  <c r="T62" i="2"/>
  <c r="T63" i="2"/>
  <c r="T64" i="2"/>
  <c r="T45" i="2"/>
  <c r="U65" i="2"/>
  <c r="S66" i="2" l="1"/>
  <c r="S67" i="2" s="1"/>
  <c r="S65" i="2"/>
  <c r="P55" i="2"/>
  <c r="P56" i="2"/>
  <c r="P57" i="2"/>
  <c r="P58" i="2"/>
  <c r="P59" i="2"/>
  <c r="P60" i="2"/>
  <c r="P61" i="2"/>
  <c r="P62" i="2"/>
  <c r="P63" i="2"/>
  <c r="P64" i="2"/>
  <c r="P65" i="2"/>
  <c r="F13" i="2"/>
  <c r="P48" i="2"/>
  <c r="P47" i="2"/>
  <c r="P46" i="2"/>
  <c r="P45" i="2"/>
  <c r="P50" i="2"/>
  <c r="P49" i="2"/>
  <c r="B32" i="2"/>
  <c r="I2" i="6" l="1"/>
  <c r="P2" i="17"/>
  <c r="D5" i="22"/>
  <c r="B5" i="22"/>
  <c r="C5" i="22"/>
  <c r="E5" i="22"/>
  <c r="F5" i="22"/>
  <c r="G5" i="22"/>
  <c r="H5" i="22"/>
  <c r="I5" i="22"/>
  <c r="J5" i="22"/>
  <c r="K5" i="22"/>
  <c r="L5" i="22"/>
  <c r="M5" i="22"/>
  <c r="B6" i="22"/>
  <c r="C6" i="22"/>
  <c r="D6" i="22"/>
  <c r="E6" i="22"/>
  <c r="F6" i="22"/>
  <c r="G6" i="22"/>
  <c r="H6" i="22"/>
  <c r="I6" i="22"/>
  <c r="J6" i="22"/>
  <c r="K6" i="22"/>
  <c r="L6" i="22"/>
  <c r="M6" i="22"/>
  <c r="B7" i="22"/>
  <c r="C7" i="22"/>
  <c r="D7" i="22"/>
  <c r="E7" i="22"/>
  <c r="F7" i="22"/>
  <c r="G7" i="22"/>
  <c r="H7" i="22"/>
  <c r="I7" i="22"/>
  <c r="J7" i="22"/>
  <c r="K7" i="22"/>
  <c r="L7" i="22"/>
  <c r="M7" i="22"/>
  <c r="B8" i="22"/>
  <c r="C8" i="22"/>
  <c r="D8" i="22"/>
  <c r="E8" i="22"/>
  <c r="F8" i="22"/>
  <c r="G8" i="22"/>
  <c r="H8" i="22"/>
  <c r="I8" i="22"/>
  <c r="J8" i="22"/>
  <c r="K8" i="22"/>
  <c r="L8" i="22"/>
  <c r="M8" i="22"/>
  <c r="B9" i="22"/>
  <c r="C9" i="22"/>
  <c r="D9" i="22"/>
  <c r="E9" i="22"/>
  <c r="F9" i="22"/>
  <c r="G9" i="22"/>
  <c r="H9" i="22"/>
  <c r="I9" i="22"/>
  <c r="J9" i="22"/>
  <c r="K9" i="22"/>
  <c r="L9" i="22"/>
  <c r="M9" i="22"/>
  <c r="B10" i="22"/>
  <c r="C10" i="22"/>
  <c r="D10" i="22"/>
  <c r="E10" i="22"/>
  <c r="F10" i="22"/>
  <c r="G10" i="22"/>
  <c r="H10" i="22"/>
  <c r="I10" i="22"/>
  <c r="J10" i="22"/>
  <c r="K10" i="22"/>
  <c r="L10" i="22"/>
  <c r="M10" i="22"/>
  <c r="B11" i="22"/>
  <c r="C11" i="22"/>
  <c r="D11" i="22"/>
  <c r="E11" i="22"/>
  <c r="F11" i="22"/>
  <c r="G11" i="22"/>
  <c r="H11" i="22"/>
  <c r="I11" i="22"/>
  <c r="J11" i="22"/>
  <c r="K11" i="22"/>
  <c r="L11" i="22"/>
  <c r="M11" i="22"/>
  <c r="B12" i="22"/>
  <c r="C12" i="22"/>
  <c r="D12" i="22"/>
  <c r="E12" i="22"/>
  <c r="F12" i="22"/>
  <c r="G12" i="22"/>
  <c r="H12" i="22"/>
  <c r="I12" i="22"/>
  <c r="J12" i="22"/>
  <c r="K12" i="22"/>
  <c r="L12" i="22"/>
  <c r="M12" i="22"/>
  <c r="B13" i="22"/>
  <c r="C13" i="22"/>
  <c r="D13" i="22"/>
  <c r="E13" i="22"/>
  <c r="F13" i="22"/>
  <c r="G13" i="22"/>
  <c r="H13" i="22"/>
  <c r="I13" i="22"/>
  <c r="J13" i="22"/>
  <c r="K13" i="22"/>
  <c r="L13" i="22"/>
  <c r="M13" i="22"/>
  <c r="B14" i="22"/>
  <c r="C14" i="22"/>
  <c r="D14" i="22"/>
  <c r="E14" i="22"/>
  <c r="F14" i="22"/>
  <c r="G14" i="22"/>
  <c r="H14" i="22"/>
  <c r="I14" i="22"/>
  <c r="J14" i="22"/>
  <c r="K14" i="22"/>
  <c r="L14" i="22"/>
  <c r="M14" i="22"/>
  <c r="B15" i="22"/>
  <c r="C15" i="22"/>
  <c r="D15" i="22"/>
  <c r="E15" i="22"/>
  <c r="F15" i="22"/>
  <c r="G15" i="22"/>
  <c r="H15" i="22"/>
  <c r="I15" i="22"/>
  <c r="J15" i="22"/>
  <c r="K15" i="22"/>
  <c r="L15" i="22"/>
  <c r="M15" i="22"/>
  <c r="B16" i="22"/>
  <c r="C16" i="22"/>
  <c r="D16" i="22"/>
  <c r="E16" i="22"/>
  <c r="F16" i="22"/>
  <c r="G16" i="22"/>
  <c r="H16" i="22"/>
  <c r="I16" i="22"/>
  <c r="J16" i="22"/>
  <c r="K16" i="22"/>
  <c r="L16" i="22"/>
  <c r="M16" i="22"/>
  <c r="B17" i="22"/>
  <c r="C17" i="22"/>
  <c r="D17" i="22"/>
  <c r="E17" i="22"/>
  <c r="F17" i="22"/>
  <c r="G17" i="22"/>
  <c r="H17" i="22"/>
  <c r="I17" i="22"/>
  <c r="J17" i="22"/>
  <c r="K17" i="22"/>
  <c r="L17" i="22"/>
  <c r="M17" i="22"/>
  <c r="B18" i="22"/>
  <c r="C18" i="22"/>
  <c r="D18" i="22"/>
  <c r="E18" i="22"/>
  <c r="F18" i="22"/>
  <c r="G18" i="22"/>
  <c r="H18" i="22"/>
  <c r="I18" i="22"/>
  <c r="J18" i="22"/>
  <c r="K18" i="22"/>
  <c r="L18" i="22"/>
  <c r="M18" i="22"/>
  <c r="B19" i="22"/>
  <c r="C19" i="22"/>
  <c r="D19" i="22"/>
  <c r="E19" i="22"/>
  <c r="F19" i="22"/>
  <c r="G19" i="22"/>
  <c r="H19" i="22"/>
  <c r="I19" i="22"/>
  <c r="J19" i="22"/>
  <c r="K19" i="22"/>
  <c r="L19" i="22"/>
  <c r="M19" i="22"/>
  <c r="B20" i="22"/>
  <c r="C20" i="22"/>
  <c r="D20" i="22"/>
  <c r="E20" i="22"/>
  <c r="F20" i="22"/>
  <c r="G20" i="22"/>
  <c r="H20" i="22"/>
  <c r="I20" i="22"/>
  <c r="J20" i="22"/>
  <c r="K20" i="22"/>
  <c r="L20" i="22"/>
  <c r="M20" i="22"/>
  <c r="A5" i="22"/>
  <c r="B4" i="22"/>
  <c r="C4" i="22"/>
  <c r="D4" i="22"/>
  <c r="F4" i="22"/>
  <c r="G4" i="22"/>
  <c r="H4" i="22"/>
  <c r="I4" i="22"/>
  <c r="J4" i="22"/>
  <c r="K4" i="22"/>
  <c r="L4" i="22"/>
  <c r="M4" i="22"/>
  <c r="E4" i="22"/>
  <c r="B2" i="22"/>
  <c r="A20" i="22"/>
  <c r="A4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B3" i="22"/>
  <c r="C2" i="22"/>
  <c r="D2" i="22"/>
  <c r="E2" i="22"/>
  <c r="F2" i="22"/>
  <c r="G2" i="22"/>
  <c r="H2" i="22"/>
  <c r="I2" i="22"/>
  <c r="J2" i="22"/>
  <c r="K2" i="22"/>
  <c r="L2" i="22"/>
  <c r="M2" i="22"/>
  <c r="O199" i="19"/>
  <c r="O200" i="19"/>
  <c r="O201" i="19"/>
  <c r="O202" i="19"/>
  <c r="J35" i="2"/>
  <c r="N199" i="19"/>
  <c r="N200" i="19"/>
  <c r="N201" i="19"/>
  <c r="N202" i="19"/>
  <c r="N2" i="20"/>
  <c r="N2" i="19" s="1"/>
  <c r="F47" i="2" s="1"/>
  <c r="N3" i="20"/>
  <c r="N3" i="19" s="1"/>
  <c r="N4" i="20"/>
  <c r="N4" i="19" s="1"/>
  <c r="N5" i="20"/>
  <c r="N5" i="19" s="1"/>
  <c r="N6" i="20"/>
  <c r="N6" i="19" s="1"/>
  <c r="N7" i="20"/>
  <c r="N7" i="19" s="1"/>
  <c r="N8" i="20"/>
  <c r="N8" i="19" s="1"/>
  <c r="N9" i="20"/>
  <c r="N9" i="19" s="1"/>
  <c r="N10" i="20"/>
  <c r="N10" i="19" s="1"/>
  <c r="N11" i="20"/>
  <c r="N11" i="19" s="1"/>
  <c r="N12" i="20"/>
  <c r="N12" i="19" s="1"/>
  <c r="N13" i="20"/>
  <c r="N13" i="19" s="1"/>
  <c r="N14" i="20"/>
  <c r="N14" i="19" s="1"/>
  <c r="N15" i="20"/>
  <c r="N15" i="19" s="1"/>
  <c r="N16" i="20"/>
  <c r="N16" i="19" s="1"/>
  <c r="N17" i="20"/>
  <c r="N17" i="19" s="1"/>
  <c r="N18" i="20"/>
  <c r="N18" i="19" s="1"/>
  <c r="N19" i="20"/>
  <c r="N19" i="19" s="1"/>
  <c r="N20" i="20"/>
  <c r="N20" i="19" s="1"/>
  <c r="N21" i="20"/>
  <c r="N21" i="19" s="1"/>
  <c r="N22" i="20"/>
  <c r="N22" i="19" s="1"/>
  <c r="N23" i="20"/>
  <c r="N23" i="19" s="1"/>
  <c r="N24" i="20"/>
  <c r="N24" i="19" s="1"/>
  <c r="N25" i="20"/>
  <c r="N25" i="19" s="1"/>
  <c r="N26" i="20"/>
  <c r="N26" i="19" s="1"/>
  <c r="N27" i="20"/>
  <c r="N27" i="19" s="1"/>
  <c r="N28" i="20"/>
  <c r="N28" i="19" s="1"/>
  <c r="N29" i="20"/>
  <c r="N29" i="19" s="1"/>
  <c r="N30" i="20"/>
  <c r="N30" i="19" s="1"/>
  <c r="N31" i="20"/>
  <c r="N31" i="19" s="1"/>
  <c r="N32" i="20"/>
  <c r="N32" i="19" s="1"/>
  <c r="N33" i="20"/>
  <c r="N33" i="19" s="1"/>
  <c r="N34" i="20"/>
  <c r="N34" i="19" s="1"/>
  <c r="N35" i="20"/>
  <c r="N35" i="19" s="1"/>
  <c r="N36" i="20"/>
  <c r="N36" i="19" s="1"/>
  <c r="N37" i="20"/>
  <c r="N37" i="19" s="1"/>
  <c r="N38" i="20"/>
  <c r="N38" i="19" s="1"/>
  <c r="N39" i="20"/>
  <c r="N39" i="19" s="1"/>
  <c r="N40" i="20"/>
  <c r="N40" i="19" s="1"/>
  <c r="N41" i="20"/>
  <c r="N41" i="19" s="1"/>
  <c r="N42" i="20"/>
  <c r="N42" i="19" s="1"/>
  <c r="N43" i="20"/>
  <c r="N43" i="19" s="1"/>
  <c r="N44" i="20"/>
  <c r="N44" i="19" s="1"/>
  <c r="N45" i="20"/>
  <c r="N45" i="19" s="1"/>
  <c r="N46" i="20"/>
  <c r="N46" i="19" s="1"/>
  <c r="N47" i="20"/>
  <c r="N47" i="19" s="1"/>
  <c r="N48" i="20"/>
  <c r="N48" i="19" s="1"/>
  <c r="N49" i="20"/>
  <c r="N49" i="19" s="1"/>
  <c r="N50" i="20"/>
  <c r="N50" i="19" s="1"/>
  <c r="N51" i="20"/>
  <c r="N51" i="19" s="1"/>
  <c r="N52" i="20"/>
  <c r="N52" i="19" s="1"/>
  <c r="N53" i="20"/>
  <c r="N53" i="19" s="1"/>
  <c r="N54" i="20"/>
  <c r="N54" i="19" s="1"/>
  <c r="N55" i="20"/>
  <c r="N55" i="19" s="1"/>
  <c r="N56" i="20"/>
  <c r="N56" i="19" s="1"/>
  <c r="N57" i="20"/>
  <c r="N57" i="19" s="1"/>
  <c r="N58" i="20"/>
  <c r="N58" i="19" s="1"/>
  <c r="N59" i="20"/>
  <c r="N59" i="19" s="1"/>
  <c r="N60" i="20"/>
  <c r="N60" i="19" s="1"/>
  <c r="N61" i="20"/>
  <c r="N61" i="19" s="1"/>
  <c r="N62" i="20"/>
  <c r="N62" i="19" s="1"/>
  <c r="N63" i="20"/>
  <c r="N63" i="19" s="1"/>
  <c r="N64" i="20"/>
  <c r="N64" i="19" s="1"/>
  <c r="N65" i="20"/>
  <c r="N65" i="19" s="1"/>
  <c r="N66" i="20"/>
  <c r="N66" i="19" s="1"/>
  <c r="N67" i="20"/>
  <c r="N67" i="19" s="1"/>
  <c r="N68" i="20"/>
  <c r="N68" i="19" s="1"/>
  <c r="N69" i="20"/>
  <c r="N69" i="19" s="1"/>
  <c r="N70" i="20"/>
  <c r="N70" i="19" s="1"/>
  <c r="N71" i="20"/>
  <c r="N71" i="19" s="1"/>
  <c r="N72" i="20"/>
  <c r="N72" i="19" s="1"/>
  <c r="N73" i="20"/>
  <c r="N73" i="19" s="1"/>
  <c r="N74" i="20"/>
  <c r="N74" i="19" s="1"/>
  <c r="N75" i="20"/>
  <c r="N75" i="19" s="1"/>
  <c r="N76" i="20"/>
  <c r="N76" i="19" s="1"/>
  <c r="N77" i="20"/>
  <c r="N77" i="19" s="1"/>
  <c r="N78" i="20"/>
  <c r="N78" i="19" s="1"/>
  <c r="N79" i="20"/>
  <c r="N79" i="19" s="1"/>
  <c r="N80" i="20"/>
  <c r="N80" i="19" s="1"/>
  <c r="N81" i="20"/>
  <c r="N81" i="19" s="1"/>
  <c r="N82" i="20"/>
  <c r="N82" i="19" s="1"/>
  <c r="N83" i="20"/>
  <c r="N83" i="19" s="1"/>
  <c r="N84" i="20"/>
  <c r="N84" i="19" s="1"/>
  <c r="N85" i="20"/>
  <c r="N85" i="19" s="1"/>
  <c r="N86" i="20"/>
  <c r="N86" i="19" s="1"/>
  <c r="N87" i="20"/>
  <c r="N87" i="19" s="1"/>
  <c r="N88" i="20"/>
  <c r="N88" i="19" s="1"/>
  <c r="N89" i="20"/>
  <c r="N89" i="19" s="1"/>
  <c r="N90" i="20"/>
  <c r="N90" i="19" s="1"/>
  <c r="N91" i="20"/>
  <c r="N91" i="19" s="1"/>
  <c r="N92" i="20"/>
  <c r="N92" i="19" s="1"/>
  <c r="N93" i="20"/>
  <c r="N93" i="19" s="1"/>
  <c r="N94" i="20"/>
  <c r="N94" i="19" s="1"/>
  <c r="N95" i="20"/>
  <c r="N95" i="19" s="1"/>
  <c r="N96" i="20"/>
  <c r="N96" i="19" s="1"/>
  <c r="N97" i="20"/>
  <c r="N97" i="19" s="1"/>
  <c r="N98" i="20"/>
  <c r="N98" i="19" s="1"/>
  <c r="N99" i="20"/>
  <c r="N99" i="19" s="1"/>
  <c r="N100" i="20"/>
  <c r="N100" i="19" s="1"/>
  <c r="N101" i="20"/>
  <c r="N101" i="19" s="1"/>
  <c r="N102" i="20"/>
  <c r="N102" i="19" s="1"/>
  <c r="N103" i="20"/>
  <c r="N103" i="19" s="1"/>
  <c r="N104" i="20"/>
  <c r="N104" i="19" s="1"/>
  <c r="N105" i="20"/>
  <c r="N105" i="19" s="1"/>
  <c r="N106" i="20"/>
  <c r="N106" i="19" s="1"/>
  <c r="N107" i="20"/>
  <c r="N107" i="19" s="1"/>
  <c r="N108" i="20"/>
  <c r="N108" i="19" s="1"/>
  <c r="N109" i="20"/>
  <c r="N109" i="19" s="1"/>
  <c r="N110" i="20"/>
  <c r="N110" i="19" s="1"/>
  <c r="N111" i="20"/>
  <c r="N111" i="19" s="1"/>
  <c r="N112" i="20"/>
  <c r="N112" i="19" s="1"/>
  <c r="N113" i="20"/>
  <c r="N113" i="19" s="1"/>
  <c r="N114" i="20"/>
  <c r="N114" i="19" s="1"/>
  <c r="N115" i="20"/>
  <c r="N115" i="19" s="1"/>
  <c r="N116" i="20"/>
  <c r="N116" i="19" s="1"/>
  <c r="N117" i="20"/>
  <c r="N117" i="19" s="1"/>
  <c r="N118" i="20"/>
  <c r="N118" i="19" s="1"/>
  <c r="N119" i="20"/>
  <c r="N119" i="19" s="1"/>
  <c r="N120" i="20"/>
  <c r="N120" i="19" s="1"/>
  <c r="N121" i="20"/>
  <c r="N121" i="19" s="1"/>
  <c r="N122" i="20"/>
  <c r="N122" i="19" s="1"/>
  <c r="N123" i="20"/>
  <c r="N123" i="19" s="1"/>
  <c r="N124" i="20"/>
  <c r="N124" i="19" s="1"/>
  <c r="N125" i="20"/>
  <c r="N125" i="19" s="1"/>
  <c r="N126" i="20"/>
  <c r="N126" i="19" s="1"/>
  <c r="N127" i="20"/>
  <c r="N127" i="19" s="1"/>
  <c r="N128" i="20"/>
  <c r="N128" i="19" s="1"/>
  <c r="N129" i="20"/>
  <c r="N129" i="19" s="1"/>
  <c r="N130" i="20"/>
  <c r="N130" i="19" s="1"/>
  <c r="N131" i="20"/>
  <c r="N131" i="19" s="1"/>
  <c r="N132" i="20"/>
  <c r="N132" i="19" s="1"/>
  <c r="N133" i="20"/>
  <c r="N133" i="19" s="1"/>
  <c r="N134" i="20"/>
  <c r="N134" i="19" s="1"/>
  <c r="N135" i="20"/>
  <c r="N135" i="19" s="1"/>
  <c r="N136" i="20"/>
  <c r="N136" i="19" s="1"/>
  <c r="N137" i="20"/>
  <c r="N137" i="19" s="1"/>
  <c r="N138" i="20"/>
  <c r="N138" i="19" s="1"/>
  <c r="N139" i="20"/>
  <c r="N139" i="19" s="1"/>
  <c r="N140" i="20"/>
  <c r="N140" i="19" s="1"/>
  <c r="N141" i="20"/>
  <c r="N141" i="19" s="1"/>
  <c r="N142" i="20"/>
  <c r="N142" i="19" s="1"/>
  <c r="N143" i="20"/>
  <c r="N143" i="19" s="1"/>
  <c r="N144" i="20"/>
  <c r="N144" i="19" s="1"/>
  <c r="N145" i="20"/>
  <c r="N145" i="19" s="1"/>
  <c r="N146" i="20"/>
  <c r="N146" i="19" s="1"/>
  <c r="N147" i="20"/>
  <c r="N147" i="19" s="1"/>
  <c r="N148" i="20"/>
  <c r="N148" i="19" s="1"/>
  <c r="N149" i="20"/>
  <c r="N149" i="19" s="1"/>
  <c r="N150" i="20"/>
  <c r="N150" i="19" s="1"/>
  <c r="N151" i="20"/>
  <c r="N151" i="19" s="1"/>
  <c r="N152" i="20"/>
  <c r="N152" i="19" s="1"/>
  <c r="N153" i="20"/>
  <c r="N153" i="19" s="1"/>
  <c r="N154" i="20"/>
  <c r="N154" i="19" s="1"/>
  <c r="N155" i="20"/>
  <c r="N155" i="19" s="1"/>
  <c r="N156" i="20"/>
  <c r="N156" i="19" s="1"/>
  <c r="N157" i="20"/>
  <c r="N157" i="19" s="1"/>
  <c r="N158" i="20"/>
  <c r="N158" i="19" s="1"/>
  <c r="N159" i="20"/>
  <c r="N159" i="19" s="1"/>
  <c r="N160" i="20"/>
  <c r="N160" i="19" s="1"/>
  <c r="N161" i="20"/>
  <c r="N161" i="19" s="1"/>
  <c r="N162" i="20"/>
  <c r="N162" i="19" s="1"/>
  <c r="N163" i="20"/>
  <c r="N163" i="19" s="1"/>
  <c r="N164" i="20"/>
  <c r="N164" i="19" s="1"/>
  <c r="N165" i="20"/>
  <c r="N165" i="19" s="1"/>
  <c r="N166" i="20"/>
  <c r="N166" i="19" s="1"/>
  <c r="N167" i="20"/>
  <c r="N167" i="19" s="1"/>
  <c r="N168" i="20"/>
  <c r="N168" i="19" s="1"/>
  <c r="N169" i="20"/>
  <c r="N169" i="19" s="1"/>
  <c r="N170" i="20"/>
  <c r="N170" i="19" s="1"/>
  <c r="N171" i="20"/>
  <c r="N171" i="19" s="1"/>
  <c r="N172" i="20"/>
  <c r="N172" i="19" s="1"/>
  <c r="N173" i="20"/>
  <c r="N173" i="19" s="1"/>
  <c r="N174" i="20"/>
  <c r="N174" i="19" s="1"/>
  <c r="N175" i="20"/>
  <c r="N175" i="19" s="1"/>
  <c r="N176" i="20"/>
  <c r="N176" i="19" s="1"/>
  <c r="N177" i="20"/>
  <c r="N177" i="19" s="1"/>
  <c r="N178" i="20"/>
  <c r="N178" i="19" s="1"/>
  <c r="N179" i="20"/>
  <c r="N179" i="19" s="1"/>
  <c r="N180" i="20"/>
  <c r="N180" i="19" s="1"/>
  <c r="N181" i="20"/>
  <c r="N181" i="19" s="1"/>
  <c r="N182" i="20"/>
  <c r="N182" i="19" s="1"/>
  <c r="N183" i="20"/>
  <c r="N183" i="19" s="1"/>
  <c r="N184" i="20"/>
  <c r="N184" i="19" s="1"/>
  <c r="N185" i="20"/>
  <c r="N185" i="19" s="1"/>
  <c r="N186" i="20"/>
  <c r="N186" i="19" s="1"/>
  <c r="N187" i="20"/>
  <c r="N187" i="19" s="1"/>
  <c r="N188" i="20"/>
  <c r="N188" i="19" s="1"/>
  <c r="N189" i="20"/>
  <c r="N189" i="19" s="1"/>
  <c r="N190" i="20"/>
  <c r="N190" i="19" s="1"/>
  <c r="N191" i="20"/>
  <c r="N191" i="19" s="1"/>
  <c r="N192" i="20"/>
  <c r="N192" i="19" s="1"/>
  <c r="N193" i="20"/>
  <c r="N193" i="19" s="1"/>
  <c r="N194" i="20"/>
  <c r="N194" i="19" s="1"/>
  <c r="N195" i="20"/>
  <c r="N195" i="19" s="1"/>
  <c r="N196" i="20"/>
  <c r="N196" i="19" s="1"/>
  <c r="N197" i="20"/>
  <c r="N197" i="19" s="1"/>
  <c r="N198" i="20"/>
  <c r="N198" i="19" s="1"/>
  <c r="C20" i="15"/>
  <c r="D20" i="15"/>
  <c r="E20" i="15"/>
  <c r="F20" i="15"/>
  <c r="G20" i="15"/>
  <c r="H20" i="15"/>
  <c r="I20" i="15"/>
  <c r="J20" i="15"/>
  <c r="K20" i="15"/>
  <c r="L20" i="15"/>
  <c r="M20" i="15"/>
  <c r="B20" i="15"/>
  <c r="N5" i="22" l="1"/>
  <c r="N17" i="22"/>
  <c r="N13" i="22"/>
  <c r="N9" i="22"/>
  <c r="N20" i="22"/>
  <c r="N16" i="22"/>
  <c r="N12" i="22"/>
  <c r="N8" i="22"/>
  <c r="N19" i="22"/>
  <c r="N15" i="22"/>
  <c r="N11" i="22"/>
  <c r="N7" i="22"/>
  <c r="N18" i="22"/>
  <c r="N14" i="22"/>
  <c r="N10" i="22"/>
  <c r="N6" i="22"/>
  <c r="N4" i="22"/>
  <c r="C3" i="22"/>
  <c r="D3" i="22" s="1"/>
  <c r="E3" i="22" s="1"/>
  <c r="F3" i="22" s="1"/>
  <c r="G3" i="22" s="1"/>
  <c r="H3" i="22" s="1"/>
  <c r="I3" i="22" s="1"/>
  <c r="J3" i="22" s="1"/>
  <c r="K3" i="22" s="1"/>
  <c r="L3" i="22" s="1"/>
  <c r="M3" i="22" s="1"/>
  <c r="O178" i="19"/>
  <c r="O154" i="19"/>
  <c r="O130" i="19"/>
  <c r="O106" i="19"/>
  <c r="O90" i="19"/>
  <c r="O74" i="19"/>
  <c r="O66" i="19"/>
  <c r="O58" i="19"/>
  <c r="O42" i="19"/>
  <c r="O26" i="19"/>
  <c r="O18" i="19"/>
  <c r="O10" i="19"/>
  <c r="O193" i="19"/>
  <c r="O185" i="19"/>
  <c r="O177" i="19"/>
  <c r="O169" i="19"/>
  <c r="O161" i="19"/>
  <c r="O153" i="19"/>
  <c r="O145" i="19"/>
  <c r="O137" i="19"/>
  <c r="O129" i="19"/>
  <c r="O121" i="19"/>
  <c r="O113" i="19"/>
  <c r="O105" i="19"/>
  <c r="O97" i="19"/>
  <c r="O89" i="19"/>
  <c r="O81" i="19"/>
  <c r="O73" i="19"/>
  <c r="O65" i="19"/>
  <c r="O57" i="19"/>
  <c r="O49" i="19"/>
  <c r="O41" i="19"/>
  <c r="O33" i="19"/>
  <c r="O25" i="19"/>
  <c r="O17" i="19"/>
  <c r="O9" i="19"/>
  <c r="O194" i="19"/>
  <c r="O170" i="19"/>
  <c r="O122" i="19"/>
  <c r="O34" i="19"/>
  <c r="O198" i="19"/>
  <c r="O190" i="19"/>
  <c r="O182" i="19"/>
  <c r="O174" i="19"/>
  <c r="O166" i="19"/>
  <c r="O158" i="19"/>
  <c r="O150" i="19"/>
  <c r="O142" i="19"/>
  <c r="O134" i="19"/>
  <c r="O126" i="19"/>
  <c r="O118" i="19"/>
  <c r="O110" i="19"/>
  <c r="O102" i="19"/>
  <c r="O94" i="19"/>
  <c r="O86" i="19"/>
  <c r="O78" i="19"/>
  <c r="O70" i="19"/>
  <c r="O62" i="19"/>
  <c r="O54" i="19"/>
  <c r="O46" i="19"/>
  <c r="O38" i="19"/>
  <c r="O30" i="19"/>
  <c r="O22" i="19"/>
  <c r="O14" i="19"/>
  <c r="O6" i="19"/>
  <c r="O186" i="19"/>
  <c r="O162" i="19"/>
  <c r="O146" i="19"/>
  <c r="O138" i="19"/>
  <c r="O114" i="19"/>
  <c r="O98" i="19"/>
  <c r="O82" i="19"/>
  <c r="O50" i="19"/>
  <c r="O197" i="19"/>
  <c r="O189" i="19"/>
  <c r="O181" i="19"/>
  <c r="O173" i="19"/>
  <c r="O165" i="19"/>
  <c r="O157" i="19"/>
  <c r="O149" i="19"/>
  <c r="O141" i="19"/>
  <c r="O133" i="19"/>
  <c r="O125" i="19"/>
  <c r="O117" i="19"/>
  <c r="O109" i="19"/>
  <c r="O101" i="19"/>
  <c r="O93" i="19"/>
  <c r="O85" i="19"/>
  <c r="O77" i="19"/>
  <c r="O69" i="19"/>
  <c r="O61" i="19"/>
  <c r="O53" i="19"/>
  <c r="O45" i="19"/>
  <c r="O37" i="19"/>
  <c r="O29" i="19"/>
  <c r="O21" i="19"/>
  <c r="O13" i="19"/>
  <c r="O5" i="19"/>
  <c r="O196" i="19"/>
  <c r="O192" i="19"/>
  <c r="O188" i="19"/>
  <c r="O184" i="19"/>
  <c r="O180" i="19"/>
  <c r="O176" i="19"/>
  <c r="O172" i="19"/>
  <c r="O168" i="19"/>
  <c r="O164" i="19"/>
  <c r="O160" i="19"/>
  <c r="O156" i="19"/>
  <c r="O152" i="19"/>
  <c r="O148" i="19"/>
  <c r="O144" i="19"/>
  <c r="O140" i="19"/>
  <c r="O136" i="19"/>
  <c r="O132" i="19"/>
  <c r="O128" i="19"/>
  <c r="O124" i="19"/>
  <c r="O120" i="19"/>
  <c r="O116" i="19"/>
  <c r="O112" i="19"/>
  <c r="O108" i="19"/>
  <c r="O104" i="19"/>
  <c r="O100" i="19"/>
  <c r="O96" i="19"/>
  <c r="O92" i="19"/>
  <c r="O88" i="19"/>
  <c r="O84" i="19"/>
  <c r="O80" i="19"/>
  <c r="O76" i="19"/>
  <c r="O72" i="19"/>
  <c r="O68" i="19"/>
  <c r="O64" i="19"/>
  <c r="O60" i="19"/>
  <c r="O56" i="19"/>
  <c r="O52" i="19"/>
  <c r="O48" i="19"/>
  <c r="O44" i="19"/>
  <c r="O40" i="19"/>
  <c r="O36" i="19"/>
  <c r="O32" i="19"/>
  <c r="O28" i="19"/>
  <c r="O24" i="19"/>
  <c r="O20" i="19"/>
  <c r="O16" i="19"/>
  <c r="O12" i="19"/>
  <c r="O8" i="19"/>
  <c r="O4" i="19"/>
  <c r="O195" i="19"/>
  <c r="O191" i="19"/>
  <c r="O187" i="19"/>
  <c r="O183" i="19"/>
  <c r="O179" i="19"/>
  <c r="O175" i="19"/>
  <c r="O171" i="19"/>
  <c r="O167" i="19"/>
  <c r="O163" i="19"/>
  <c r="O159" i="19"/>
  <c r="O155" i="19"/>
  <c r="O151" i="19"/>
  <c r="O147" i="19"/>
  <c r="O143" i="19"/>
  <c r="O139" i="19"/>
  <c r="O135" i="19"/>
  <c r="O131" i="19"/>
  <c r="O127" i="19"/>
  <c r="O123" i="19"/>
  <c r="O119" i="19"/>
  <c r="O115" i="19"/>
  <c r="O111" i="19"/>
  <c r="O107" i="19"/>
  <c r="O103" i="19"/>
  <c r="O99" i="19"/>
  <c r="O95" i="19"/>
  <c r="O91" i="19"/>
  <c r="O87" i="19"/>
  <c r="O83" i="19"/>
  <c r="O79" i="19"/>
  <c r="O75" i="19"/>
  <c r="O71" i="19"/>
  <c r="O67" i="19"/>
  <c r="O63" i="19"/>
  <c r="O59" i="19"/>
  <c r="O55" i="19"/>
  <c r="O51" i="19"/>
  <c r="O47" i="19"/>
  <c r="O43" i="19"/>
  <c r="O39" i="19"/>
  <c r="O35" i="19"/>
  <c r="O31" i="19"/>
  <c r="O27" i="19"/>
  <c r="O23" i="19"/>
  <c r="O19" i="19"/>
  <c r="O15" i="19"/>
  <c r="O11" i="19"/>
  <c r="O7" i="19"/>
  <c r="O3" i="19"/>
  <c r="N12" i="15"/>
  <c r="N13" i="15"/>
  <c r="N14" i="15"/>
  <c r="N15" i="15"/>
  <c r="N16" i="15"/>
  <c r="G33" i="2" s="1"/>
  <c r="N17" i="15"/>
  <c r="N18" i="15"/>
  <c r="N19" i="15"/>
  <c r="H19" i="7" l="1"/>
  <c r="P3" i="7" l="1"/>
  <c r="P2" i="7"/>
  <c r="F9" i="2" s="1"/>
  <c r="H19" i="13"/>
  <c r="K15" i="13" s="1"/>
  <c r="H19" i="8"/>
  <c r="H19" i="18"/>
  <c r="H19" i="17"/>
  <c r="H19" i="14"/>
  <c r="K4" i="7"/>
  <c r="K15" i="17" l="1"/>
  <c r="P3" i="17"/>
  <c r="K15" i="14"/>
  <c r="P3" i="14"/>
  <c r="K10" i="13"/>
  <c r="K4" i="13"/>
  <c r="K14" i="13"/>
  <c r="K6" i="13"/>
  <c r="K12" i="13"/>
  <c r="K8" i="13"/>
  <c r="K16" i="13"/>
  <c r="K12" i="17"/>
  <c r="K6" i="17"/>
  <c r="K4" i="17"/>
  <c r="K8" i="17"/>
  <c r="K6" i="14"/>
  <c r="K11" i="14"/>
  <c r="K7" i="14"/>
  <c r="K12" i="14"/>
  <c r="K14" i="14"/>
  <c r="K3" i="14"/>
  <c r="K8" i="14"/>
  <c r="K4" i="14"/>
  <c r="K10" i="14"/>
  <c r="K16" i="14"/>
  <c r="K6" i="7"/>
  <c r="K15" i="7"/>
  <c r="K11" i="7"/>
  <c r="K14" i="7"/>
  <c r="K17" i="7"/>
  <c r="K13" i="7"/>
  <c r="K9" i="7"/>
  <c r="K3" i="7"/>
  <c r="K10" i="7"/>
  <c r="K16" i="7"/>
  <c r="K12" i="7"/>
  <c r="K7" i="7"/>
  <c r="K5" i="7"/>
  <c r="K8" i="7"/>
  <c r="K5" i="13"/>
  <c r="K9" i="13"/>
  <c r="K13" i="13"/>
  <c r="K17" i="13"/>
  <c r="K3" i="13"/>
  <c r="K7" i="13"/>
  <c r="K11" i="13"/>
  <c r="K16" i="17"/>
  <c r="K5" i="17"/>
  <c r="K9" i="17"/>
  <c r="K13" i="17"/>
  <c r="K17" i="17"/>
  <c r="K10" i="17"/>
  <c r="K14" i="17"/>
  <c r="K3" i="17"/>
  <c r="K19" i="17" s="1"/>
  <c r="K7" i="17"/>
  <c r="K11" i="17"/>
  <c r="K5" i="14"/>
  <c r="K9" i="14"/>
  <c r="K13" i="14"/>
  <c r="K17" i="14"/>
  <c r="O24" i="18"/>
  <c r="P4" i="18" s="1"/>
  <c r="P3" i="18"/>
  <c r="P2" i="18"/>
  <c r="O24" i="17"/>
  <c r="P4" i="17" s="1"/>
  <c r="P8" i="18" l="1"/>
  <c r="P8" i="17"/>
  <c r="F12" i="2" s="1"/>
  <c r="Q47" i="2" s="1"/>
  <c r="K19" i="14"/>
  <c r="K19" i="7"/>
  <c r="K19" i="13"/>
  <c r="K19" i="8"/>
  <c r="K19" i="18"/>
  <c r="D2" i="6"/>
  <c r="N2" i="6"/>
  <c r="F41" i="2" l="1"/>
  <c r="G42" i="2" s="1"/>
  <c r="B10" i="3" l="1"/>
  <c r="B23" i="2"/>
  <c r="B29" i="3" l="1"/>
  <c r="O24" i="7" l="1"/>
  <c r="O24" i="14"/>
  <c r="O24" i="8"/>
  <c r="O24" i="13"/>
  <c r="P4" i="13" s="1"/>
  <c r="B4" i="3" l="1"/>
  <c r="B15" i="2" l="1"/>
  <c r="P3" i="13"/>
  <c r="P2" i="13"/>
  <c r="P4" i="8"/>
  <c r="P3" i="8"/>
  <c r="P2" i="8"/>
  <c r="P2" i="14"/>
  <c r="P4" i="14"/>
  <c r="B20" i="2" l="1"/>
  <c r="N11" i="15"/>
  <c r="G27" i="2" s="1"/>
  <c r="N3" i="15" l="1"/>
  <c r="G19" i="2" s="1"/>
  <c r="N4" i="15"/>
  <c r="G20" i="2" s="1"/>
  <c r="N5" i="15"/>
  <c r="G21" i="2" s="1"/>
  <c r="N6" i="15"/>
  <c r="G22" i="2" s="1"/>
  <c r="N7" i="15"/>
  <c r="G23" i="2" s="1"/>
  <c r="N8" i="15"/>
  <c r="G24" i="2" s="1"/>
  <c r="N9" i="15"/>
  <c r="G25" i="2" s="1"/>
  <c r="N10" i="15"/>
  <c r="G26" i="2" s="1"/>
  <c r="N2" i="15"/>
  <c r="G18" i="2" s="1"/>
  <c r="F34" i="2" l="1"/>
  <c r="I30" i="2" l="1"/>
  <c r="I31" i="2"/>
  <c r="I28" i="2"/>
  <c r="I32" i="2"/>
  <c r="I29" i="2"/>
  <c r="I27" i="2"/>
  <c r="B21" i="2"/>
  <c r="B5" i="3"/>
  <c r="B17" i="2" l="1"/>
  <c r="B16" i="2"/>
  <c r="C23" i="2" l="1"/>
  <c r="C20" i="2"/>
  <c r="C21" i="2"/>
  <c r="F44" i="2"/>
  <c r="G8" i="2" l="1"/>
  <c r="P4" i="7" l="1"/>
  <c r="P8" i="7" s="1"/>
  <c r="P8" i="13"/>
  <c r="P8" i="8"/>
  <c r="P8" i="14"/>
  <c r="F46" i="2" l="1"/>
  <c r="F15" i="2" s="1"/>
  <c r="B9" i="2"/>
  <c r="B22" i="2"/>
  <c r="C22" i="2" s="1"/>
  <c r="B7" i="3" l="1"/>
  <c r="B8" i="3" l="1"/>
  <c r="B28" i="3" s="1"/>
  <c r="B15" i="3" l="1"/>
  <c r="B50" i="2"/>
  <c r="B56" i="2" s="1"/>
  <c r="B2" i="2"/>
  <c r="D20" i="3" l="1"/>
  <c r="D19" i="3"/>
  <c r="B17" i="3" l="1"/>
  <c r="B24" i="2"/>
  <c r="C15" i="2" s="1"/>
  <c r="B22" i="3" l="1"/>
  <c r="B31" i="3" s="1"/>
  <c r="I19" i="2"/>
  <c r="I25" i="2"/>
  <c r="I18" i="2"/>
  <c r="I23" i="2"/>
  <c r="I22" i="2"/>
  <c r="I33" i="2"/>
  <c r="I24" i="2"/>
  <c r="I20" i="2"/>
  <c r="I26" i="2"/>
  <c r="I21" i="2"/>
  <c r="B35" i="2" l="1"/>
  <c r="I34" i="2"/>
  <c r="B4" i="2"/>
  <c r="C24" i="2" l="1"/>
  <c r="F10" i="2" l="1"/>
  <c r="Q45" i="2" s="1"/>
  <c r="F14" i="2"/>
  <c r="Q48" i="2" s="1"/>
  <c r="F11" i="2"/>
  <c r="Q46" i="2" s="1"/>
  <c r="G14" i="2" l="1"/>
  <c r="G15" i="2"/>
  <c r="B3" i="2" s="1"/>
  <c r="B13" i="2" s="1"/>
  <c r="B33" i="2" l="1"/>
  <c r="B36" i="2" s="1"/>
</calcChain>
</file>

<file path=xl/sharedStrings.xml><?xml version="1.0" encoding="utf-8"?>
<sst xmlns="http://schemas.openxmlformats.org/spreadsheetml/2006/main" count="604" uniqueCount="223">
  <si>
    <t>Date</t>
  </si>
  <si>
    <t xml:space="preserve">Description </t>
  </si>
  <si>
    <t>Catergory</t>
  </si>
  <si>
    <t xml:space="preserve">Price </t>
  </si>
  <si>
    <t>Entry/Date</t>
  </si>
  <si>
    <t>Item</t>
  </si>
  <si>
    <t>Debit</t>
  </si>
  <si>
    <t>Credit</t>
  </si>
  <si>
    <t xml:space="preserve">Item </t>
  </si>
  <si>
    <t>Home Content</t>
  </si>
  <si>
    <t>iPhone</t>
  </si>
  <si>
    <t>Samsung Laptop</t>
  </si>
  <si>
    <t>Samsung Tablet</t>
  </si>
  <si>
    <t>Apple Watch</t>
  </si>
  <si>
    <t>Computer</t>
  </si>
  <si>
    <t>Bal c/d</t>
  </si>
  <si>
    <t>Savings</t>
  </si>
  <si>
    <t>Bal b/d</t>
  </si>
  <si>
    <t>Transfers</t>
  </si>
  <si>
    <t>Income</t>
  </si>
  <si>
    <t>Other Expenses</t>
  </si>
  <si>
    <t xml:space="preserve">Investment </t>
  </si>
  <si>
    <t xml:space="preserve">Liabilties </t>
  </si>
  <si>
    <t>Expenses</t>
  </si>
  <si>
    <t>Percentage</t>
  </si>
  <si>
    <t>Refunds</t>
  </si>
  <si>
    <t>Entertainment</t>
  </si>
  <si>
    <t>Groceries</t>
  </si>
  <si>
    <t>Restaurant</t>
  </si>
  <si>
    <t>Transportation</t>
  </si>
  <si>
    <t>Withdrawal</t>
  </si>
  <si>
    <t>Clothing and Accessories</t>
  </si>
  <si>
    <t>Technology</t>
  </si>
  <si>
    <t>Miscellaneous</t>
  </si>
  <si>
    <t>Assets</t>
  </si>
  <si>
    <t>Cash in</t>
  </si>
  <si>
    <t>Salary</t>
  </si>
  <si>
    <t>Dividends</t>
  </si>
  <si>
    <t>Superannuation</t>
  </si>
  <si>
    <t>Cash out</t>
  </si>
  <si>
    <t>HEC debt</t>
  </si>
  <si>
    <t>Net worth</t>
  </si>
  <si>
    <t>Surplus/Deficit</t>
  </si>
  <si>
    <t xml:space="preserve">Pending </t>
  </si>
  <si>
    <t>Transfer</t>
  </si>
  <si>
    <t>Pending</t>
  </si>
  <si>
    <t xml:space="preserve">Accounting Method: </t>
  </si>
  <si>
    <t>Other</t>
  </si>
  <si>
    <t>https://www.ato.gov.au/General/Capital-gains-tax/In-detail/Calculating-a-capital-gain-or-loss/Using-the-capital-gain-or-capital-loss-worksheet/?anchor=Example_Clare#Example_Clare</t>
  </si>
  <si>
    <t>End of Financial Yr</t>
  </si>
  <si>
    <t xml:space="preserve">Income </t>
  </si>
  <si>
    <t>Interest</t>
  </si>
  <si>
    <t>Capital Gain on ETF</t>
  </si>
  <si>
    <t>Franking Credits</t>
  </si>
  <si>
    <t>Allowable deductions</t>
  </si>
  <si>
    <t xml:space="preserve">Taxable Income </t>
  </si>
  <si>
    <t xml:space="preserve">Basic income tax liability </t>
  </si>
  <si>
    <t>https://www.ato.gov.au/rates/individual-income-tax-rates/</t>
  </si>
  <si>
    <t>Less: non-refundable tax offset</t>
  </si>
  <si>
    <t xml:space="preserve">Add: Medicare Levy </t>
  </si>
  <si>
    <t>https://www.ato.gov.au/Individuals/Medicare-levy/</t>
  </si>
  <si>
    <t>Add: Medicare Levy Surcharge</t>
  </si>
  <si>
    <t>https://www.ato.gov.au/individuals/medicare-levy/medicare-levy-surcharge/income-thresholds-and-rates-for-the-medicare-levy-surcharge/</t>
  </si>
  <si>
    <t>Less refundable tax offset &amp; Credit</t>
  </si>
  <si>
    <t xml:space="preserve">Franking Credit </t>
  </si>
  <si>
    <t xml:space="preserve">PAYG Credit </t>
  </si>
  <si>
    <t>Tax Payable/Refundable</t>
  </si>
  <si>
    <t>(30/70)*(%)*dividend</t>
  </si>
  <si>
    <t>Medication/Fittness</t>
  </si>
  <si>
    <t>Loss</t>
  </si>
  <si>
    <t>Paul Income</t>
  </si>
  <si>
    <t>Rent</t>
  </si>
  <si>
    <t>Total</t>
  </si>
  <si>
    <t>Card</t>
  </si>
  <si>
    <t>Travel</t>
  </si>
  <si>
    <t>Home Insurance</t>
  </si>
  <si>
    <t xml:space="preserve">Car Insurance </t>
  </si>
  <si>
    <t xml:space="preserve">Health Insurance </t>
  </si>
  <si>
    <t>Telephone</t>
  </si>
  <si>
    <t xml:space="preserve">Council </t>
  </si>
  <si>
    <t>Gas</t>
  </si>
  <si>
    <t>Electric</t>
  </si>
  <si>
    <t>Water</t>
  </si>
  <si>
    <t>Mortgage</t>
  </si>
  <si>
    <t>Fee</t>
  </si>
  <si>
    <t>Tax Bracket</t>
  </si>
  <si>
    <t>Flat Tax Component</t>
  </si>
  <si>
    <t>Lower Limit</t>
  </si>
  <si>
    <t>Description</t>
  </si>
  <si>
    <t xml:space="preserve"> Total</t>
  </si>
  <si>
    <t>Dividend</t>
  </si>
  <si>
    <t>Reserve</t>
  </si>
  <si>
    <t xml:space="preserve">Amount </t>
  </si>
  <si>
    <t xml:space="preserve">Budgeting/Fortnight </t>
  </si>
  <si>
    <t>Medicare Levy</t>
  </si>
  <si>
    <t>Medicare Surcharge</t>
  </si>
  <si>
    <t xml:space="preserve">low income </t>
  </si>
  <si>
    <t>After tax $1000 to super this finacnial year</t>
  </si>
  <si>
    <t>end of getr health insurance rebate form</t>
  </si>
  <si>
    <t>After T Income</t>
  </si>
  <si>
    <t>Subscriptions</t>
  </si>
  <si>
    <t>Acorns</t>
  </si>
  <si>
    <t xml:space="preserve">optus </t>
  </si>
  <si>
    <t>opal</t>
  </si>
  <si>
    <t>paypal</t>
  </si>
  <si>
    <t>steam</t>
  </si>
  <si>
    <t>centrelink</t>
  </si>
  <si>
    <t>apple</t>
  </si>
  <si>
    <t>google</t>
  </si>
  <si>
    <t>Citibank</t>
  </si>
  <si>
    <t xml:space="preserve">Westpac </t>
  </si>
  <si>
    <t>Hec-Help</t>
  </si>
  <si>
    <t>Owner's Equity</t>
  </si>
  <si>
    <t xml:space="preserve">Expenses </t>
  </si>
  <si>
    <t>Westpac Saving</t>
  </si>
  <si>
    <t>Note this does not account for meals</t>
  </si>
  <si>
    <t>https://www.ato.gov.au/Individuals/Super/Growing-your-super/Adding-to-my-super/Government-super-contributions/</t>
  </si>
  <si>
    <t>Low income Superannuation Benefits</t>
  </si>
  <si>
    <t>Technical Log</t>
  </si>
  <si>
    <t>Saving Target</t>
  </si>
  <si>
    <t>Missed/Surplus</t>
  </si>
  <si>
    <t>Start Date</t>
  </si>
  <si>
    <t>MAR</t>
  </si>
  <si>
    <t>JAN</t>
  </si>
  <si>
    <t>FEB</t>
  </si>
  <si>
    <t>APR</t>
  </si>
  <si>
    <t>MAY</t>
  </si>
  <si>
    <t>JUN</t>
  </si>
  <si>
    <t>JUL</t>
  </si>
  <si>
    <t>AUG</t>
  </si>
  <si>
    <t>SEP</t>
  </si>
  <si>
    <t>DEC</t>
  </si>
  <si>
    <t>OCT</t>
  </si>
  <si>
    <t>NOV</t>
  </si>
  <si>
    <t>Add monthly expenses</t>
  </si>
  <si>
    <t>Add Interest record in Salary</t>
  </si>
  <si>
    <t>Retention %</t>
  </si>
  <si>
    <t>Missed transfer</t>
  </si>
  <si>
    <t xml:space="preserve">Note  </t>
  </si>
  <si>
    <t>Buffer</t>
  </si>
  <si>
    <t>Telecommunication</t>
  </si>
  <si>
    <t>After Tax Reserve</t>
  </si>
  <si>
    <t>Contribution 1</t>
  </si>
  <si>
    <t>Contribution 2</t>
  </si>
  <si>
    <t>Contribution 3</t>
  </si>
  <si>
    <t>Contribution 4</t>
  </si>
  <si>
    <t>https://www.ato.gov.au/individuals/medicare-levy/private-health-insurance-rebate/private-health-insurance-rebate-eligibility/?anchor=Claimingyourrebate#Claimingyourrebate</t>
  </si>
  <si>
    <t xml:space="preserve">      Est PH Rebate (end of June) </t>
  </si>
  <si>
    <t xml:space="preserve">      Meal Allowance</t>
  </si>
  <si>
    <t>REMEMBER TO COPY AND PASTE A NEW COPY IN T/F FOLDER</t>
  </si>
  <si>
    <t>2017 - 2018 FY</t>
  </si>
  <si>
    <t>Remove Apple from list and Optus to Telecom</t>
  </si>
  <si>
    <t>Telecom</t>
  </si>
  <si>
    <t>Without Transfer</t>
  </si>
  <si>
    <t>Weekly Investment</t>
  </si>
  <si>
    <t>Goals</t>
  </si>
  <si>
    <t>Investment Goal</t>
  </si>
  <si>
    <t>Previous Goal</t>
  </si>
  <si>
    <t>Current Goal</t>
  </si>
  <si>
    <t>Update Code, Remove Refund and Investment Category, Updated Weekly Formula</t>
  </si>
  <si>
    <t>Reminders</t>
  </si>
  <si>
    <t>Low income Super Refund Check Back</t>
  </si>
  <si>
    <t>https://www.ato.gov.au/Individuals/Super/Super-changes/New-low-income-super-tax-offset-contribution/</t>
  </si>
  <si>
    <t xml:space="preserve">Add Interest calculation </t>
  </si>
  <si>
    <t>Notes</t>
  </si>
  <si>
    <t>Parent purchases are transfers</t>
  </si>
  <si>
    <t xml:space="preserve">My purchases on Parent account is </t>
  </si>
  <si>
    <t>Plus</t>
  </si>
  <si>
    <t>Minus</t>
  </si>
  <si>
    <t>Expense</t>
  </si>
  <si>
    <t>Correct Investment Calculation in B/S, when accounting pending transfer</t>
  </si>
  <si>
    <t>Create a transfer sheet????</t>
  </si>
  <si>
    <t>Medication</t>
  </si>
  <si>
    <t>Updated Transfer account calculation</t>
  </si>
  <si>
    <t>PAYG Formula</t>
  </si>
  <si>
    <t>Added Expense percentages to accounts</t>
  </si>
  <si>
    <t>Apple Music</t>
  </si>
  <si>
    <t xml:space="preserve">      Investment Fee</t>
  </si>
  <si>
    <t>Added PAYG withheld column and update formula in tax sheet</t>
  </si>
  <si>
    <t>Unknown</t>
  </si>
  <si>
    <t>Adjustment</t>
  </si>
  <si>
    <t xml:space="preserve">Cold and Flu Medicine </t>
  </si>
  <si>
    <t>Opal</t>
  </si>
  <si>
    <t>eSaver Transfer</t>
  </si>
  <si>
    <t>Bank</t>
  </si>
  <si>
    <t>Movie</t>
  </si>
  <si>
    <t>Japanese Lunch</t>
  </si>
  <si>
    <t>Hungry Jacks</t>
  </si>
  <si>
    <t>Choice Transfer</t>
  </si>
  <si>
    <t>Raiz Fee</t>
  </si>
  <si>
    <t>All Stocks</t>
  </si>
  <si>
    <t>Clothing</t>
  </si>
  <si>
    <t>Uniqlo - Business Pants</t>
  </si>
  <si>
    <t>ATO</t>
  </si>
  <si>
    <t>Macbook Leather Case</t>
  </si>
  <si>
    <t>Education</t>
  </si>
  <si>
    <t>Buy</t>
  </si>
  <si>
    <t>Sell</t>
  </si>
  <si>
    <t>No.</t>
  </si>
  <si>
    <t>Category</t>
  </si>
  <si>
    <t>Brokeage</t>
  </si>
  <si>
    <t>Raiz</t>
  </si>
  <si>
    <t>Westpac Cash</t>
  </si>
  <si>
    <t>VAS</t>
  </si>
  <si>
    <t>Accumulation</t>
  </si>
  <si>
    <t>Investment - VAS</t>
  </si>
  <si>
    <t>Already included in the price</t>
  </si>
  <si>
    <t>Add Westpac Cash, Investment Tabs  and added investment statistics and added educationt to the list</t>
  </si>
  <si>
    <t>remove brokeage from cash tab and make it a other expense item</t>
  </si>
  <si>
    <t xml:space="preserve">remove brokeage from buy/sell values </t>
  </si>
  <si>
    <t>Target</t>
  </si>
  <si>
    <t>VTS</t>
  </si>
  <si>
    <t>VEU</t>
  </si>
  <si>
    <t>VHY</t>
  </si>
  <si>
    <t>Stage 1</t>
  </si>
  <si>
    <t>VGE</t>
  </si>
  <si>
    <t>Stage 2</t>
  </si>
  <si>
    <t>Stage 3</t>
  </si>
  <si>
    <t>Goal: High Yield Portfolio, AUS share = 90%</t>
  </si>
  <si>
    <t>Goal: Shifting to Capital Gains, AUS share = 65%</t>
  </si>
  <si>
    <t>Goal: Increasing Saving, AUS share = 80%</t>
  </si>
  <si>
    <t xml:space="preserve">Technology and Furniture </t>
  </si>
  <si>
    <t>Random Figure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</si>
</sst>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;[Red]\-&quot;$&quot;#,##0"/>
    <numFmt numFmtId="165" formatCode="&quot;$&quot;#,##0.00;\-&quot;$&quot;#,##0.00"/>
    <numFmt numFmtId="166" formatCode="_-&quot;$&quot;* #,##0.00_-;\-&quot;$&quot;* #,##0.00_-;_-&quot;$&quot;* &quot;-&quot;??_-;_-@_-"/>
    <numFmt numFmtId="167" formatCode="[$-C09]d\ mmmm\ yyyy;@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8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66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horizontal="left"/>
    </xf>
    <xf numFmtId="166" fontId="0" fillId="0" borderId="0" xfId="1" applyFont="1"/>
    <xf numFmtId="166" fontId="0" fillId="0" borderId="0" xfId="0" applyNumberFormat="1"/>
    <xf numFmtId="14" fontId="0" fillId="0" borderId="0" xfId="0" applyNumberFormat="1"/>
    <xf numFmtId="166" fontId="0" fillId="0" borderId="0" xfId="1" applyFont="1" applyBorder="1"/>
    <xf numFmtId="0" fontId="0" fillId="0" borderId="3" xfId="0" applyBorder="1"/>
    <xf numFmtId="0" fontId="0" fillId="0" borderId="4" xfId="0" applyBorder="1"/>
    <xf numFmtId="14" fontId="0" fillId="0" borderId="5" xfId="0" applyNumberFormat="1" applyBorder="1"/>
    <xf numFmtId="0" fontId="0" fillId="0" borderId="0" xfId="0" applyBorder="1"/>
    <xf numFmtId="166" fontId="0" fillId="3" borderId="0" xfId="1" applyFont="1" applyFill="1" applyBorder="1"/>
    <xf numFmtId="14" fontId="0" fillId="0" borderId="6" xfId="0" applyNumberFormat="1" applyBorder="1"/>
    <xf numFmtId="0" fontId="0" fillId="0" borderId="8" xfId="0" applyBorder="1"/>
    <xf numFmtId="0" fontId="0" fillId="0" borderId="5" xfId="0" applyBorder="1"/>
    <xf numFmtId="0" fontId="0" fillId="0" borderId="0" xfId="0" applyFill="1" applyBorder="1"/>
    <xf numFmtId="166" fontId="0" fillId="0" borderId="0" xfId="1" applyNumberFormat="1" applyFont="1" applyBorder="1"/>
    <xf numFmtId="9" fontId="0" fillId="0" borderId="6" xfId="2" applyFont="1" applyBorder="1"/>
    <xf numFmtId="166" fontId="0" fillId="0" borderId="0" xfId="0" applyNumberFormat="1" applyBorder="1" applyAlignment="1">
      <alignment horizontal="left"/>
    </xf>
    <xf numFmtId="0" fontId="0" fillId="0" borderId="7" xfId="0" applyBorder="1"/>
    <xf numFmtId="9" fontId="0" fillId="0" borderId="9" xfId="0" applyNumberFormat="1" applyBorder="1"/>
    <xf numFmtId="166" fontId="0" fillId="0" borderId="10" xfId="1" applyFont="1" applyBorder="1"/>
    <xf numFmtId="0" fontId="0" fillId="0" borderId="2" xfId="0" applyBorder="1"/>
    <xf numFmtId="165" fontId="0" fillId="0" borderId="0" xfId="0" applyNumberFormat="1"/>
    <xf numFmtId="166" fontId="2" fillId="4" borderId="1" xfId="1" applyFont="1" applyFill="1" applyBorder="1" applyAlignment="1">
      <alignment horizontal="center"/>
    </xf>
    <xf numFmtId="166" fontId="0" fillId="0" borderId="1" xfId="1" applyFont="1" applyBorder="1" applyAlignment="1">
      <alignment horizontal="center"/>
    </xf>
    <xf numFmtId="166" fontId="0" fillId="0" borderId="0" xfId="1" applyFont="1" applyAlignment="1">
      <alignment horizontal="center"/>
    </xf>
    <xf numFmtId="166" fontId="2" fillId="3" borderId="0" xfId="1" applyFont="1" applyFill="1" applyAlignment="1">
      <alignment horizontal="center"/>
    </xf>
    <xf numFmtId="0" fontId="0" fillId="0" borderId="13" xfId="0" applyBorder="1"/>
    <xf numFmtId="0" fontId="0" fillId="0" borderId="13" xfId="0" applyFill="1" applyBorder="1"/>
    <xf numFmtId="166" fontId="0" fillId="0" borderId="13" xfId="1" applyFont="1" applyFill="1" applyBorder="1"/>
    <xf numFmtId="0" fontId="4" fillId="2" borderId="11" xfId="0" applyFont="1" applyFill="1" applyBorder="1"/>
    <xf numFmtId="0" fontId="4" fillId="2" borderId="13" xfId="0" applyFont="1" applyFill="1" applyBorder="1"/>
    <xf numFmtId="14" fontId="3" fillId="5" borderId="12" xfId="0" applyNumberFormat="1" applyFont="1" applyFill="1" applyBorder="1"/>
    <xf numFmtId="14" fontId="3" fillId="5" borderId="11" xfId="0" applyNumberFormat="1" applyFont="1" applyFill="1" applyBorder="1"/>
    <xf numFmtId="0" fontId="3" fillId="5" borderId="11" xfId="0" applyFont="1" applyFill="1" applyBorder="1"/>
    <xf numFmtId="166" fontId="0" fillId="3" borderId="3" xfId="1" applyFont="1" applyFill="1" applyBorder="1"/>
    <xf numFmtId="166" fontId="0" fillId="3" borderId="8" xfId="1" applyFont="1" applyFill="1" applyBorder="1"/>
    <xf numFmtId="0" fontId="6" fillId="0" borderId="0" xfId="3"/>
    <xf numFmtId="166" fontId="0" fillId="3" borderId="1" xfId="1" applyFont="1" applyFill="1" applyBorder="1" applyAlignment="1">
      <alignment horizontal="center"/>
    </xf>
    <xf numFmtId="166" fontId="4" fillId="0" borderId="13" xfId="1" applyFont="1" applyFill="1" applyBorder="1"/>
    <xf numFmtId="0" fontId="0" fillId="0" borderId="0" xfId="0" applyFill="1"/>
    <xf numFmtId="166" fontId="0" fillId="0" borderId="0" xfId="1" applyFont="1" applyFill="1" applyBorder="1"/>
    <xf numFmtId="166" fontId="0" fillId="0" borderId="0" xfId="1" applyFont="1" applyBorder="1" applyAlignment="1">
      <alignment horizontal="center"/>
    </xf>
    <xf numFmtId="0" fontId="2" fillId="0" borderId="0" xfId="0" applyFont="1" applyFill="1" applyBorder="1"/>
    <xf numFmtId="166" fontId="0" fillId="0" borderId="0" xfId="1" applyFont="1" applyFill="1" applyBorder="1" applyAlignment="1">
      <alignment horizontal="center"/>
    </xf>
    <xf numFmtId="0" fontId="2" fillId="2" borderId="2" xfId="0" applyFont="1" applyFill="1" applyBorder="1"/>
    <xf numFmtId="0" fontId="2" fillId="2" borderId="5" xfId="0" applyFont="1" applyFill="1" applyBorder="1"/>
    <xf numFmtId="0" fontId="2" fillId="2" borderId="7" xfId="0" applyFont="1" applyFill="1" applyBorder="1"/>
    <xf numFmtId="0" fontId="2" fillId="2" borderId="0" xfId="0" applyFont="1" applyFill="1" applyAlignment="1">
      <alignment horizontal="left" indent="2"/>
    </xf>
    <xf numFmtId="14" fontId="2" fillId="2" borderId="0" xfId="0" applyNumberFormat="1" applyFont="1" applyFill="1"/>
    <xf numFmtId="9" fontId="0" fillId="0" borderId="4" xfId="0" applyNumberFormat="1" applyBorder="1"/>
    <xf numFmtId="166" fontId="0" fillId="0" borderId="0" xfId="0" applyNumberFormat="1" applyBorder="1"/>
    <xf numFmtId="166" fontId="2" fillId="3" borderId="0" xfId="1" applyFont="1" applyFill="1"/>
    <xf numFmtId="166" fontId="0" fillId="0" borderId="6" xfId="1" applyFont="1" applyBorder="1"/>
    <xf numFmtId="0" fontId="2" fillId="2" borderId="14" xfId="0" applyFont="1" applyFill="1" applyBorder="1" applyAlignment="1">
      <alignment horizontal="left"/>
    </xf>
    <xf numFmtId="9" fontId="0" fillId="0" borderId="15" xfId="0" applyNumberFormat="1" applyBorder="1" applyAlignment="1">
      <alignment horizontal="left"/>
    </xf>
    <xf numFmtId="9" fontId="0" fillId="0" borderId="14" xfId="0" applyNumberFormat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166" fontId="0" fillId="0" borderId="0" xfId="1" applyNumberFormat="1" applyFont="1"/>
    <xf numFmtId="165" fontId="0" fillId="0" borderId="0" xfId="0" applyNumberFormat="1" applyBorder="1"/>
    <xf numFmtId="0" fontId="0" fillId="3" borderId="0" xfId="0" applyFill="1"/>
    <xf numFmtId="166" fontId="0" fillId="0" borderId="0" xfId="1" applyNumberFormat="1" applyFont="1" applyFill="1" applyBorder="1"/>
    <xf numFmtId="0" fontId="2" fillId="2" borderId="16" xfId="0" applyFont="1" applyFill="1" applyBorder="1"/>
    <xf numFmtId="10" fontId="0" fillId="0" borderId="17" xfId="2" applyNumberFormat="1" applyFont="1" applyBorder="1"/>
    <xf numFmtId="166" fontId="0" fillId="0" borderId="9" xfId="1" applyFont="1" applyBorder="1"/>
    <xf numFmtId="0" fontId="7" fillId="0" borderId="0" xfId="0" applyFont="1"/>
    <xf numFmtId="9" fontId="0" fillId="0" borderId="0" xfId="2" applyFont="1" applyBorder="1"/>
    <xf numFmtId="0" fontId="2" fillId="2" borderId="0" xfId="0" applyNumberFormat="1" applyFont="1" applyFill="1" applyAlignment="1">
      <alignment horizontal="left"/>
    </xf>
    <xf numFmtId="0" fontId="0" fillId="0" borderId="0" xfId="1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3" borderId="0" xfId="1" applyNumberFormat="1" applyFont="1" applyFill="1" applyBorder="1" applyAlignment="1">
      <alignment horizontal="left"/>
    </xf>
    <xf numFmtId="0" fontId="0" fillId="0" borderId="0" xfId="0" applyNumberFormat="1"/>
    <xf numFmtId="0" fontId="0" fillId="0" borderId="3" xfId="0" applyNumberFormat="1" applyBorder="1"/>
    <xf numFmtId="0" fontId="0" fillId="0" borderId="0" xfId="0" applyNumberFormat="1" applyBorder="1" applyAlignment="1">
      <alignment horizontal="left"/>
    </xf>
    <xf numFmtId="0" fontId="0" fillId="0" borderId="8" xfId="0" applyNumberFormat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/>
    <xf numFmtId="165" fontId="0" fillId="0" borderId="0" xfId="1" applyNumberFormat="1" applyFont="1"/>
    <xf numFmtId="0" fontId="8" fillId="2" borderId="0" xfId="0" applyFont="1" applyFill="1"/>
    <xf numFmtId="166" fontId="8" fillId="2" borderId="0" xfId="1" applyFont="1" applyFill="1"/>
    <xf numFmtId="0" fontId="9" fillId="0" borderId="0" xfId="0" applyFont="1"/>
    <xf numFmtId="0" fontId="8" fillId="2" borderId="16" xfId="0" applyFont="1" applyFill="1" applyBorder="1"/>
    <xf numFmtId="0" fontId="8" fillId="2" borderId="18" xfId="0" applyFont="1" applyFill="1" applyBorder="1"/>
    <xf numFmtId="166" fontId="8" fillId="3" borderId="18" xfId="1" applyFont="1" applyFill="1" applyBorder="1" applyAlignment="1">
      <alignment horizontal="center"/>
    </xf>
    <xf numFmtId="166" fontId="8" fillId="4" borderId="19" xfId="1" applyFont="1" applyFill="1" applyBorder="1" applyAlignment="1">
      <alignment horizontal="center"/>
    </xf>
    <xf numFmtId="0" fontId="8" fillId="2" borderId="18" xfId="0" applyNumberFormat="1" applyFont="1" applyFill="1" applyBorder="1" applyAlignment="1">
      <alignment horizontal="left"/>
    </xf>
    <xf numFmtId="0" fontId="8" fillId="2" borderId="17" xfId="0" applyFont="1" applyFill="1" applyBorder="1"/>
    <xf numFmtId="166" fontId="9" fillId="0" borderId="0" xfId="1" applyFont="1" applyAlignment="1">
      <alignment horizontal="center"/>
    </xf>
    <xf numFmtId="166" fontId="9" fillId="0" borderId="0" xfId="1" applyFont="1"/>
    <xf numFmtId="0" fontId="8" fillId="3" borderId="2" xfId="0" applyFont="1" applyFill="1" applyBorder="1" applyAlignment="1">
      <alignment horizontal="left"/>
    </xf>
    <xf numFmtId="0" fontId="9" fillId="0" borderId="3" xfId="0" applyFont="1" applyBorder="1"/>
    <xf numFmtId="166" fontId="9" fillId="3" borderId="3" xfId="1" applyFont="1" applyFill="1" applyBorder="1" applyAlignment="1">
      <alignment horizontal="center"/>
    </xf>
    <xf numFmtId="0" fontId="9" fillId="0" borderId="3" xfId="0" applyNumberFormat="1" applyFont="1" applyBorder="1" applyAlignment="1">
      <alignment horizontal="left"/>
    </xf>
    <xf numFmtId="0" fontId="9" fillId="0" borderId="4" xfId="0" applyFont="1" applyBorder="1"/>
    <xf numFmtId="166" fontId="9" fillId="0" borderId="0" xfId="0" applyNumberFormat="1" applyFont="1"/>
    <xf numFmtId="0" fontId="9" fillId="0" borderId="5" xfId="0" applyFont="1" applyBorder="1"/>
    <xf numFmtId="0" fontId="9" fillId="0" borderId="0" xfId="0" applyFont="1" applyBorder="1"/>
    <xf numFmtId="166" fontId="9" fillId="3" borderId="0" xfId="1" applyFont="1" applyFill="1" applyBorder="1" applyAlignment="1">
      <alignment horizontal="center"/>
    </xf>
    <xf numFmtId="0" fontId="9" fillId="0" borderId="0" xfId="0" applyNumberFormat="1" applyFont="1" applyBorder="1" applyAlignment="1">
      <alignment horizontal="left"/>
    </xf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166" fontId="9" fillId="3" borderId="8" xfId="1" applyFont="1" applyFill="1" applyBorder="1" applyAlignment="1">
      <alignment horizontal="center"/>
    </xf>
    <xf numFmtId="0" fontId="9" fillId="0" borderId="8" xfId="1" applyNumberFormat="1" applyFont="1" applyBorder="1" applyAlignment="1">
      <alignment horizontal="left"/>
    </xf>
    <xf numFmtId="0" fontId="9" fillId="0" borderId="9" xfId="0" applyFont="1" applyBorder="1"/>
    <xf numFmtId="0" fontId="8" fillId="3" borderId="5" xfId="1" applyNumberFormat="1" applyFont="1" applyFill="1" applyBorder="1" applyAlignment="1">
      <alignment horizontal="left"/>
    </xf>
    <xf numFmtId="166" fontId="9" fillId="3" borderId="0" xfId="1" applyFont="1" applyFill="1" applyBorder="1"/>
    <xf numFmtId="0" fontId="9" fillId="3" borderId="0" xfId="0" applyFont="1" applyFill="1" applyBorder="1"/>
    <xf numFmtId="166" fontId="9" fillId="0" borderId="5" xfId="1" applyFont="1" applyBorder="1" applyAlignment="1">
      <alignment horizontal="center"/>
    </xf>
    <xf numFmtId="0" fontId="9" fillId="0" borderId="0" xfId="1" applyNumberFormat="1" applyFont="1"/>
    <xf numFmtId="166" fontId="9" fillId="3" borderId="0" xfId="0" applyNumberFormat="1" applyFont="1" applyFill="1" applyBorder="1"/>
    <xf numFmtId="0" fontId="9" fillId="0" borderId="10" xfId="0" applyFont="1" applyBorder="1"/>
    <xf numFmtId="166" fontId="9" fillId="0" borderId="10" xfId="1" applyFont="1" applyBorder="1"/>
    <xf numFmtId="0" fontId="9" fillId="0" borderId="0" xfId="1" applyNumberFormat="1" applyFont="1" applyBorder="1" applyAlignment="1">
      <alignment horizontal="left"/>
    </xf>
    <xf numFmtId="166" fontId="8" fillId="2" borderId="0" xfId="1" applyFont="1" applyFill="1" applyAlignment="1">
      <alignment horizontal="center"/>
    </xf>
    <xf numFmtId="166" fontId="8" fillId="4" borderId="18" xfId="1" applyFont="1" applyFill="1" applyBorder="1" applyAlignment="1">
      <alignment horizontal="center"/>
    </xf>
    <xf numFmtId="0" fontId="8" fillId="2" borderId="18" xfId="0" applyFont="1" applyFill="1" applyBorder="1" applyAlignment="1">
      <alignment horizontal="left"/>
    </xf>
    <xf numFmtId="10" fontId="9" fillId="0" borderId="0" xfId="2" applyNumberFormat="1" applyFont="1"/>
    <xf numFmtId="0" fontId="8" fillId="4" borderId="5" xfId="0" applyFont="1" applyFill="1" applyBorder="1"/>
    <xf numFmtId="0" fontId="9" fillId="0" borderId="0" xfId="0" applyFont="1" applyBorder="1" applyAlignment="1">
      <alignment horizontal="left"/>
    </xf>
    <xf numFmtId="0" fontId="9" fillId="0" borderId="0" xfId="0" applyFont="1" applyFill="1" applyBorder="1"/>
    <xf numFmtId="166" fontId="9" fillId="0" borderId="0" xfId="1" applyNumberFormat="1" applyFont="1" applyBorder="1"/>
    <xf numFmtId="9" fontId="9" fillId="0" borderId="6" xfId="2" applyFont="1" applyBorder="1"/>
    <xf numFmtId="9" fontId="9" fillId="0" borderId="0" xfId="0" applyNumberFormat="1" applyFont="1" applyFill="1" applyBorder="1"/>
    <xf numFmtId="14" fontId="9" fillId="0" borderId="0" xfId="0" applyNumberFormat="1" applyFont="1" applyFill="1" applyBorder="1"/>
    <xf numFmtId="10" fontId="9" fillId="0" borderId="0" xfId="0" applyNumberFormat="1" applyFont="1"/>
    <xf numFmtId="166" fontId="9" fillId="0" borderId="10" xfId="1" applyFont="1" applyBorder="1" applyAlignment="1">
      <alignment horizontal="center"/>
    </xf>
    <xf numFmtId="166" fontId="9" fillId="0" borderId="0" xfId="0" applyNumberFormat="1" applyFont="1" applyBorder="1" applyAlignment="1">
      <alignment horizontal="left"/>
    </xf>
    <xf numFmtId="166" fontId="9" fillId="0" borderId="0" xfId="1" applyFont="1" applyBorder="1" applyAlignment="1">
      <alignment horizontal="center"/>
    </xf>
    <xf numFmtId="9" fontId="9" fillId="0" borderId="6" xfId="0" applyNumberFormat="1" applyFont="1" applyBorder="1"/>
    <xf numFmtId="166" fontId="8" fillId="3" borderId="0" xfId="1" applyFont="1" applyFill="1" applyAlignment="1">
      <alignment horizontal="center"/>
    </xf>
    <xf numFmtId="166" fontId="8" fillId="3" borderId="0" xfId="1" applyFont="1" applyFill="1" applyAlignment="1">
      <alignment horizontal="right"/>
    </xf>
    <xf numFmtId="0" fontId="9" fillId="0" borderId="3" xfId="1" applyNumberFormat="1" applyFont="1" applyBorder="1" applyAlignment="1">
      <alignment horizontal="left"/>
    </xf>
    <xf numFmtId="14" fontId="9" fillId="0" borderId="0" xfId="1" applyNumberFormat="1" applyFont="1" applyAlignment="1">
      <alignment horizontal="right"/>
    </xf>
    <xf numFmtId="14" fontId="10" fillId="0" borderId="5" xfId="0" applyNumberFormat="1" applyFont="1" applyFill="1" applyBorder="1" applyAlignment="1">
      <alignment horizontal="left"/>
    </xf>
    <xf numFmtId="166" fontId="9" fillId="0" borderId="0" xfId="1" applyFont="1" applyAlignment="1">
      <alignment horizontal="right"/>
    </xf>
    <xf numFmtId="0" fontId="8" fillId="0" borderId="0" xfId="0" applyFont="1" applyFill="1"/>
    <xf numFmtId="0" fontId="10" fillId="0" borderId="5" xfId="0" applyFont="1" applyBorder="1"/>
    <xf numFmtId="166" fontId="9" fillId="0" borderId="0" xfId="1" applyFont="1" applyBorder="1"/>
    <xf numFmtId="0" fontId="9" fillId="0" borderId="6" xfId="0" applyFont="1" applyFill="1" applyBorder="1"/>
    <xf numFmtId="165" fontId="9" fillId="0" borderId="0" xfId="1" applyNumberFormat="1" applyFont="1" applyFill="1" applyBorder="1"/>
    <xf numFmtId="0" fontId="8" fillId="4" borderId="2" xfId="1" applyNumberFormat="1" applyFont="1" applyFill="1" applyBorder="1" applyAlignment="1">
      <alignment horizontal="left"/>
    </xf>
    <xf numFmtId="166" fontId="9" fillId="0" borderId="3" xfId="1" applyFont="1" applyBorder="1"/>
    <xf numFmtId="166" fontId="9" fillId="3" borderId="3" xfId="1" applyFont="1" applyFill="1" applyBorder="1"/>
    <xf numFmtId="0" fontId="9" fillId="0" borderId="4" xfId="0" applyFont="1" applyFill="1" applyBorder="1"/>
    <xf numFmtId="0" fontId="8" fillId="6" borderId="2" xfId="0" applyFont="1" applyFill="1" applyBorder="1"/>
    <xf numFmtId="166" fontId="9" fillId="0" borderId="0" xfId="1" applyFont="1" applyFill="1" applyBorder="1"/>
    <xf numFmtId="166" fontId="9" fillId="0" borderId="7" xfId="1" applyFont="1" applyBorder="1" applyAlignment="1">
      <alignment horizontal="center"/>
    </xf>
    <xf numFmtId="0" fontId="9" fillId="3" borderId="8" xfId="0" applyFont="1" applyFill="1" applyBorder="1"/>
    <xf numFmtId="14" fontId="9" fillId="0" borderId="9" xfId="0" applyNumberFormat="1" applyFont="1" applyFill="1" applyBorder="1"/>
    <xf numFmtId="0" fontId="8" fillId="4" borderId="0" xfId="0" applyFont="1" applyFill="1"/>
    <xf numFmtId="14" fontId="9" fillId="0" borderId="0" xfId="0" applyNumberFormat="1" applyFont="1"/>
    <xf numFmtId="0" fontId="2" fillId="3" borderId="0" xfId="0" applyFont="1" applyFill="1"/>
    <xf numFmtId="166" fontId="6" fillId="0" borderId="0" xfId="3" applyNumberFormat="1"/>
    <xf numFmtId="0" fontId="0" fillId="0" borderId="0" xfId="0" applyFont="1"/>
    <xf numFmtId="166" fontId="2" fillId="3" borderId="0" xfId="1" applyFont="1" applyFill="1" applyBorder="1"/>
    <xf numFmtId="0" fontId="0" fillId="0" borderId="0" xfId="0" applyFont="1" applyFill="1" applyBorder="1"/>
    <xf numFmtId="0" fontId="11" fillId="2" borderId="11" xfId="0" applyFont="1" applyFill="1" applyBorder="1"/>
    <xf numFmtId="0" fontId="11" fillId="2" borderId="13" xfId="0" applyFont="1" applyFill="1" applyBorder="1"/>
    <xf numFmtId="166" fontId="11" fillId="0" borderId="13" xfId="1" applyFont="1" applyFill="1" applyBorder="1"/>
    <xf numFmtId="165" fontId="12" fillId="0" borderId="0" xfId="0" applyNumberFormat="1" applyFont="1"/>
    <xf numFmtId="0" fontId="13" fillId="2" borderId="0" xfId="0" applyFont="1" applyFill="1"/>
    <xf numFmtId="166" fontId="13" fillId="3" borderId="0" xfId="1" applyFont="1" applyFill="1" applyAlignment="1">
      <alignment horizontal="center"/>
    </xf>
    <xf numFmtId="166" fontId="13" fillId="4" borderId="1" xfId="1" applyFont="1" applyFill="1" applyBorder="1" applyAlignment="1">
      <alignment horizontal="center"/>
    </xf>
    <xf numFmtId="0" fontId="13" fillId="2" borderId="0" xfId="0" applyFont="1" applyFill="1" applyAlignment="1">
      <alignment horizontal="left"/>
    </xf>
    <xf numFmtId="0" fontId="12" fillId="0" borderId="0" xfId="0" applyFont="1"/>
    <xf numFmtId="0" fontId="13" fillId="2" borderId="0" xfId="0" applyNumberFormat="1" applyFont="1" applyFill="1" applyAlignment="1">
      <alignment horizontal="left"/>
    </xf>
    <xf numFmtId="14" fontId="14" fillId="5" borderId="11" xfId="0" applyNumberFormat="1" applyFont="1" applyFill="1" applyBorder="1"/>
    <xf numFmtId="0" fontId="12" fillId="0" borderId="13" xfId="0" applyFont="1" applyBorder="1"/>
    <xf numFmtId="166" fontId="12" fillId="0" borderId="13" xfId="1" applyFont="1" applyFill="1" applyBorder="1"/>
    <xf numFmtId="0" fontId="13" fillId="4" borderId="2" xfId="0" applyFont="1" applyFill="1" applyBorder="1"/>
    <xf numFmtId="0" fontId="12" fillId="0" borderId="3" xfId="0" applyFont="1" applyBorder="1"/>
    <xf numFmtId="166" fontId="12" fillId="3" borderId="3" xfId="1" applyFont="1" applyFill="1" applyBorder="1"/>
    <xf numFmtId="0" fontId="12" fillId="0" borderId="3" xfId="0" applyFont="1" applyBorder="1" applyAlignment="1">
      <alignment horizontal="left"/>
    </xf>
    <xf numFmtId="0" fontId="12" fillId="0" borderId="4" xfId="0" applyFont="1" applyBorder="1"/>
    <xf numFmtId="166" fontId="12" fillId="0" borderId="0" xfId="1" applyFont="1" applyAlignment="1">
      <alignment horizontal="center"/>
    </xf>
    <xf numFmtId="166" fontId="12" fillId="0" borderId="1" xfId="1" applyFont="1" applyBorder="1" applyAlignment="1">
      <alignment horizontal="center"/>
    </xf>
    <xf numFmtId="0" fontId="12" fillId="0" borderId="0" xfId="1" applyNumberFormat="1" applyFont="1" applyBorder="1" applyAlignment="1">
      <alignment horizontal="left"/>
    </xf>
    <xf numFmtId="0" fontId="12" fillId="0" borderId="5" xfId="0" applyFont="1" applyBorder="1"/>
    <xf numFmtId="0" fontId="12" fillId="0" borderId="0" xfId="0" applyFont="1" applyFill="1" applyBorder="1"/>
    <xf numFmtId="166" fontId="12" fillId="3" borderId="0" xfId="1" applyFont="1" applyFill="1" applyBorder="1"/>
    <xf numFmtId="166" fontId="12" fillId="0" borderId="0" xfId="1" applyNumberFormat="1" applyFont="1" applyBorder="1"/>
    <xf numFmtId="9" fontId="12" fillId="0" borderId="6" xfId="2" applyFont="1" applyBorder="1"/>
    <xf numFmtId="0" fontId="12" fillId="0" borderId="0" xfId="0" applyFont="1" applyBorder="1"/>
    <xf numFmtId="0" fontId="12" fillId="0" borderId="0" xfId="0" applyNumberFormat="1" applyFont="1" applyAlignment="1">
      <alignment horizontal="left"/>
    </xf>
    <xf numFmtId="166" fontId="12" fillId="0" borderId="0" xfId="0" applyNumberFormat="1" applyFont="1"/>
    <xf numFmtId="166" fontId="12" fillId="3" borderId="1" xfId="1" applyFont="1" applyFill="1" applyBorder="1" applyAlignment="1">
      <alignment horizontal="center"/>
    </xf>
    <xf numFmtId="0" fontId="12" fillId="3" borderId="0" xfId="1" applyNumberFormat="1" applyFont="1" applyFill="1" applyBorder="1" applyAlignment="1">
      <alignment horizontal="left"/>
    </xf>
    <xf numFmtId="14" fontId="14" fillId="5" borderId="12" xfId="0" applyNumberFormat="1" applyFont="1" applyFill="1" applyBorder="1"/>
    <xf numFmtId="0" fontId="12" fillId="0" borderId="0" xfId="0" applyNumberFormat="1" applyFont="1"/>
    <xf numFmtId="166" fontId="12" fillId="0" borderId="0" xfId="1" applyFont="1" applyBorder="1" applyAlignment="1">
      <alignment horizontal="center"/>
    </xf>
    <xf numFmtId="166" fontId="12" fillId="0" borderId="0" xfId="1" applyFont="1"/>
    <xf numFmtId="166" fontId="12" fillId="0" borderId="0" xfId="0" applyNumberFormat="1" applyFont="1" applyBorder="1" applyAlignment="1">
      <alignment horizontal="left"/>
    </xf>
    <xf numFmtId="0" fontId="12" fillId="0" borderId="7" xfId="0" applyFont="1" applyBorder="1"/>
    <xf numFmtId="0" fontId="12" fillId="0" borderId="8" xfId="0" applyFont="1" applyBorder="1"/>
    <xf numFmtId="166" fontId="12" fillId="3" borderId="8" xfId="1" applyFont="1" applyFill="1" applyBorder="1"/>
    <xf numFmtId="9" fontId="12" fillId="0" borderId="9" xfId="0" applyNumberFormat="1" applyFont="1" applyBorder="1"/>
    <xf numFmtId="0" fontId="12" fillId="0" borderId="2" xfId="0" applyFont="1" applyBorder="1"/>
    <xf numFmtId="0" fontId="12" fillId="0" borderId="3" xfId="0" applyNumberFormat="1" applyFont="1" applyBorder="1"/>
    <xf numFmtId="9" fontId="12" fillId="0" borderId="4" xfId="0" applyNumberFormat="1" applyFont="1" applyBorder="1"/>
    <xf numFmtId="14" fontId="12" fillId="0" borderId="5" xfId="0" applyNumberFormat="1" applyFont="1" applyBorder="1"/>
    <xf numFmtId="164" fontId="12" fillId="0" borderId="0" xfId="0" applyNumberFormat="1" applyFont="1" applyBorder="1"/>
    <xf numFmtId="165" fontId="12" fillId="3" borderId="0" xfId="1" applyNumberFormat="1" applyFont="1" applyFill="1" applyBorder="1"/>
    <xf numFmtId="14" fontId="12" fillId="0" borderId="6" xfId="0" applyNumberFormat="1" applyFont="1" applyBorder="1"/>
    <xf numFmtId="0" fontId="12" fillId="0" borderId="0" xfId="0" applyNumberFormat="1" applyFont="1" applyBorder="1" applyAlignment="1">
      <alignment horizontal="left"/>
    </xf>
    <xf numFmtId="0" fontId="12" fillId="0" borderId="8" xfId="0" applyNumberFormat="1" applyFont="1" applyBorder="1" applyAlignment="1">
      <alignment horizontal="left"/>
    </xf>
    <xf numFmtId="166" fontId="12" fillId="0" borderId="0" xfId="1" applyFont="1" applyFill="1" applyBorder="1" applyAlignment="1">
      <alignment horizontal="center"/>
    </xf>
    <xf numFmtId="0" fontId="12" fillId="0" borderId="0" xfId="0" applyNumberFormat="1" applyFont="1" applyFill="1" applyBorder="1" applyAlignment="1">
      <alignment horizontal="left"/>
    </xf>
    <xf numFmtId="0" fontId="13" fillId="0" borderId="0" xfId="0" applyFont="1" applyFill="1" applyBorder="1"/>
    <xf numFmtId="166" fontId="12" fillId="0" borderId="0" xfId="1" applyFont="1" applyFill="1" applyBorder="1"/>
    <xf numFmtId="0" fontId="12" fillId="0" borderId="0" xfId="0" applyNumberFormat="1" applyFont="1" applyBorder="1"/>
    <xf numFmtId="165" fontId="12" fillId="0" borderId="0" xfId="0" applyNumberFormat="1" applyFont="1" applyBorder="1"/>
    <xf numFmtId="166" fontId="12" fillId="0" borderId="0" xfId="1" applyFont="1" applyBorder="1"/>
    <xf numFmtId="166" fontId="12" fillId="0" borderId="0" xfId="0" applyNumberFormat="1" applyFont="1" applyBorder="1"/>
    <xf numFmtId="0" fontId="12" fillId="0" borderId="6" xfId="0" applyFont="1" applyBorder="1"/>
    <xf numFmtId="166" fontId="12" fillId="0" borderId="8" xfId="1" applyFont="1" applyBorder="1" applyAlignment="1">
      <alignment horizontal="left"/>
    </xf>
    <xf numFmtId="166" fontId="12" fillId="3" borderId="8" xfId="1" applyNumberFormat="1" applyFont="1" applyFill="1" applyBorder="1"/>
    <xf numFmtId="0" fontId="12" fillId="0" borderId="9" xfId="0" applyFont="1" applyBorder="1"/>
    <xf numFmtId="9" fontId="12" fillId="0" borderId="0" xfId="2" applyFont="1" applyBorder="1"/>
    <xf numFmtId="0" fontId="12" fillId="0" borderId="0" xfId="0" applyFont="1" applyFill="1"/>
    <xf numFmtId="0" fontId="0" fillId="0" borderId="13" xfId="0" applyFont="1" applyBorder="1"/>
    <xf numFmtId="0" fontId="0" fillId="0" borderId="13" xfId="0" applyFont="1" applyFill="1" applyBorder="1"/>
    <xf numFmtId="166" fontId="12" fillId="7" borderId="13" xfId="1" applyFont="1" applyFill="1" applyBorder="1"/>
    <xf numFmtId="14" fontId="12" fillId="0" borderId="0" xfId="0" applyNumberFormat="1" applyFont="1"/>
    <xf numFmtId="166" fontId="12" fillId="0" borderId="1" xfId="1" applyNumberFormat="1" applyFont="1" applyBorder="1" applyAlignment="1">
      <alignment horizontal="center"/>
    </xf>
    <xf numFmtId="166" fontId="1" fillId="0" borderId="13" xfId="1" applyFont="1" applyFill="1" applyBorder="1"/>
    <xf numFmtId="0" fontId="9" fillId="0" borderId="0" xfId="0" applyFont="1" applyFill="1" applyBorder="1" applyAlignment="1">
      <alignment horizontal="center"/>
    </xf>
    <xf numFmtId="167" fontId="9" fillId="0" borderId="0" xfId="0" applyNumberFormat="1" applyFont="1" applyFill="1" applyBorder="1" applyAlignment="1">
      <alignment horizontal="center"/>
    </xf>
    <xf numFmtId="0" fontId="0" fillId="0" borderId="13" xfId="1" applyNumberFormat="1" applyFont="1" applyBorder="1"/>
    <xf numFmtId="7" fontId="12" fillId="0" borderId="0" xfId="0" applyNumberFormat="1" applyFont="1" applyBorder="1"/>
    <xf numFmtId="14" fontId="12" fillId="0" borderId="0" xfId="0" applyNumberFormat="1" applyFont="1" applyBorder="1"/>
    <xf numFmtId="44" fontId="12" fillId="0" borderId="0" xfId="0" applyNumberFormat="1" applyFont="1"/>
    <xf numFmtId="166" fontId="0" fillId="7" borderId="13" xfId="1" applyFont="1" applyFill="1" applyBorder="1"/>
    <xf numFmtId="14" fontId="12" fillId="0" borderId="7" xfId="0" applyNumberFormat="1" applyFont="1" applyBorder="1"/>
    <xf numFmtId="0" fontId="0" fillId="0" borderId="0" xfId="0" applyFont="1" applyBorder="1"/>
    <xf numFmtId="165" fontId="0" fillId="0" borderId="0" xfId="1" applyNumberFormat="1" applyFont="1" applyAlignment="1">
      <alignment horizontal="center"/>
    </xf>
    <xf numFmtId="0" fontId="0" fillId="0" borderId="5" xfId="0" applyFont="1" applyBorder="1"/>
    <xf numFmtId="0" fontId="4" fillId="2" borderId="0" xfId="0" applyNumberFormat="1" applyFont="1" applyFill="1"/>
    <xf numFmtId="0" fontId="0" fillId="0" borderId="0" xfId="1" applyNumberFormat="1" applyFont="1" applyFill="1" applyBorder="1" applyAlignment="1">
      <alignment horizontal="left"/>
    </xf>
    <xf numFmtId="166" fontId="0" fillId="0" borderId="1" xfId="1" applyFont="1" applyBorder="1"/>
    <xf numFmtId="0" fontId="15" fillId="0" borderId="5" xfId="0" applyFont="1" applyFill="1" applyBorder="1"/>
    <xf numFmtId="0" fontId="0" fillId="0" borderId="0" xfId="1" applyNumberFormat="1" applyFont="1"/>
    <xf numFmtId="166" fontId="0" fillId="0" borderId="0" xfId="0" applyNumberFormat="1" applyFont="1" applyBorder="1" applyAlignment="1">
      <alignment horizontal="left"/>
    </xf>
    <xf numFmtId="166" fontId="9" fillId="3" borderId="8" xfId="1" applyFont="1" applyFill="1" applyBorder="1"/>
    <xf numFmtId="0" fontId="9" fillId="0" borderId="8" xfId="0" applyFont="1" applyFill="1" applyBorder="1"/>
    <xf numFmtId="0" fontId="9" fillId="0" borderId="9" xfId="0" applyFont="1" applyFill="1" applyBorder="1"/>
    <xf numFmtId="166" fontId="0" fillId="0" borderId="0" xfId="1" applyFont="1" applyBorder="1" applyAlignment="1">
      <alignment horizontal="left"/>
    </xf>
    <xf numFmtId="0" fontId="9" fillId="0" borderId="0" xfId="0" applyNumberFormat="1" applyFont="1"/>
    <xf numFmtId="0" fontId="9" fillId="0" borderId="2" xfId="0" applyNumberFormat="1" applyFont="1" applyBorder="1"/>
    <xf numFmtId="166" fontId="9" fillId="0" borderId="4" xfId="0" applyNumberFormat="1" applyFont="1" applyBorder="1"/>
    <xf numFmtId="0" fontId="9" fillId="0" borderId="5" xfId="0" applyNumberFormat="1" applyFont="1" applyBorder="1"/>
    <xf numFmtId="166" fontId="9" fillId="0" borderId="6" xfId="0" applyNumberFormat="1" applyFont="1" applyBorder="1"/>
    <xf numFmtId="0" fontId="9" fillId="0" borderId="6" xfId="0" applyNumberFormat="1" applyFont="1" applyBorder="1"/>
    <xf numFmtId="0" fontId="9" fillId="0" borderId="7" xfId="0" applyNumberFormat="1" applyFont="1" applyBorder="1"/>
    <xf numFmtId="0" fontId="9" fillId="0" borderId="9" xfId="0" applyNumberFormat="1" applyFont="1" applyBorder="1"/>
    <xf numFmtId="166" fontId="0" fillId="0" borderId="6" xfId="1" applyFont="1" applyFill="1" applyBorder="1"/>
    <xf numFmtId="166" fontId="9" fillId="0" borderId="6" xfId="1" applyFont="1" applyBorder="1"/>
    <xf numFmtId="0" fontId="9" fillId="0" borderId="0" xfId="0" applyNumberFormat="1" applyFont="1" applyBorder="1"/>
    <xf numFmtId="44" fontId="9" fillId="0" borderId="0" xfId="0" applyNumberFormat="1" applyFont="1"/>
    <xf numFmtId="0" fontId="0" fillId="0" borderId="5" xfId="0" applyNumberFormat="1" applyFont="1" applyBorder="1"/>
    <xf numFmtId="10" fontId="0" fillId="0" borderId="0" xfId="0" applyNumberFormat="1" applyFont="1"/>
    <xf numFmtId="0" fontId="0" fillId="0" borderId="0" xfId="0" applyFont="1" applyAlignment="1">
      <alignment horizontal="right"/>
    </xf>
    <xf numFmtId="166" fontId="10" fillId="0" borderId="0" xfId="1" applyFont="1"/>
    <xf numFmtId="0" fontId="0" fillId="4" borderId="13" xfId="0" applyFont="1" applyFill="1" applyBorder="1"/>
    <xf numFmtId="0" fontId="0" fillId="0" borderId="0" xfId="0" applyFont="1" applyAlignment="1">
      <alignment horizontal="left" vertical="top" wrapText="1"/>
    </xf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8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Calculations!$A$2</c:f>
              <c:strCache>
                <c:ptCount val="1"/>
                <c:pt idx="0">
                  <c:v> Telecom 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Calculations!$B$1:$M$1</c15:sqref>
                  </c15:fullRef>
                </c:ext>
              </c:extLst>
              <c:f>Calculations!$B$1:$I$1</c:f>
              <c:strCache>
                <c:ptCount val="8"/>
                <c:pt idx="0">
                  <c:v> JUL 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</c:v>
                </c:pt>
                <c:pt idx="7">
                  <c:v>FEB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Calculations!$B$2:$M$2</c15:sqref>
                  </c15:fullRef>
                </c:ext>
              </c:extLst>
              <c:f>Calculations!$B$2:$I$2</c:f>
              <c:numCache>
                <c:formatCode>"$"#,##0.00;\-"$"#,##0.00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F85B-456F-B9BA-79017D87E83F}"/>
            </c:ext>
          </c:extLst>
        </c:ser>
        <c:ser>
          <c:idx val="1"/>
          <c:order val="1"/>
          <c:tx>
            <c:strRef>
              <c:f>Calculations!$A$3</c:f>
              <c:strCache>
                <c:ptCount val="1"/>
                <c:pt idx="0">
                  <c:v> Entertainment 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Calculations!$B$1:$M$1</c15:sqref>
                  </c15:fullRef>
                </c:ext>
              </c:extLst>
              <c:f>Calculations!$B$1:$I$1</c:f>
              <c:strCache>
                <c:ptCount val="8"/>
                <c:pt idx="0">
                  <c:v> JUL 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</c:v>
                </c:pt>
                <c:pt idx="7">
                  <c:v>FEB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Calculations!$B$3:$M$3</c15:sqref>
                  </c15:fullRef>
                </c:ext>
              </c:extLst>
              <c:f>Calculations!$B$3:$I$3</c:f>
              <c:numCache>
                <c:formatCode>"$"#,##0.00;\-"$"#,##0.00</c:formatCode>
                <c:ptCount val="8"/>
                <c:pt idx="0">
                  <c:v>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5B-456F-B9BA-79017D87E83F}"/>
            </c:ext>
          </c:extLst>
        </c:ser>
        <c:ser>
          <c:idx val="2"/>
          <c:order val="2"/>
          <c:tx>
            <c:strRef>
              <c:f>Calculations!$A$4</c:f>
              <c:strCache>
                <c:ptCount val="1"/>
                <c:pt idx="0">
                  <c:v> Medication/Fittness 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Calculations!$B$1:$M$1</c15:sqref>
                  </c15:fullRef>
                </c:ext>
              </c:extLst>
              <c:f>Calculations!$B$1:$I$1</c:f>
              <c:strCache>
                <c:ptCount val="8"/>
                <c:pt idx="0">
                  <c:v> JUL 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</c:v>
                </c:pt>
                <c:pt idx="7">
                  <c:v>FEB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Calculations!$B$4:$M$4</c15:sqref>
                  </c15:fullRef>
                </c:ext>
              </c:extLst>
              <c:f>Calculations!$B$4:$I$4</c:f>
              <c:numCache>
                <c:formatCode>"$"#,##0.00;\-"$"#,##0.00</c:formatCode>
                <c:ptCount val="8"/>
                <c:pt idx="0">
                  <c:v>14.98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5B-456F-B9BA-79017D87E83F}"/>
            </c:ext>
          </c:extLst>
        </c:ser>
        <c:ser>
          <c:idx val="3"/>
          <c:order val="3"/>
          <c:tx>
            <c:strRef>
              <c:f>Calculations!$A$5</c:f>
              <c:strCache>
                <c:ptCount val="1"/>
                <c:pt idx="0">
                  <c:v> Groceries 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Calculations!$B$1:$M$1</c15:sqref>
                  </c15:fullRef>
                </c:ext>
              </c:extLst>
              <c:f>Calculations!$B$1:$I$1</c:f>
              <c:strCache>
                <c:ptCount val="8"/>
                <c:pt idx="0">
                  <c:v> JUL 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</c:v>
                </c:pt>
                <c:pt idx="7">
                  <c:v>FEB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Calculations!$B$5:$M$5</c15:sqref>
                  </c15:fullRef>
                </c:ext>
              </c:extLst>
              <c:f>Calculations!$B$5:$I$5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F85B-456F-B9BA-79017D87E83F}"/>
            </c:ext>
          </c:extLst>
        </c:ser>
        <c:ser>
          <c:idx val="4"/>
          <c:order val="4"/>
          <c:tx>
            <c:strRef>
              <c:f>Calculations!$A$6</c:f>
              <c:strCache>
                <c:ptCount val="1"/>
                <c:pt idx="0">
                  <c:v> Restaurant 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Calculations!$B$1:$M$1</c15:sqref>
                  </c15:fullRef>
                </c:ext>
              </c:extLst>
              <c:f>Calculations!$B$1:$I$1</c:f>
              <c:strCache>
                <c:ptCount val="8"/>
                <c:pt idx="0">
                  <c:v> JUL 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</c:v>
                </c:pt>
                <c:pt idx="7">
                  <c:v>FEB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Calculations!$B$6:$M$6</c15:sqref>
                  </c15:fullRef>
                </c:ext>
              </c:extLst>
              <c:f>Calculations!$B$6:$I$6</c:f>
              <c:numCache>
                <c:formatCode>General</c:formatCode>
                <c:ptCount val="8"/>
                <c:pt idx="0" formatCode="&quot;$&quot;#,##0.00;\-&quot;$&quot;#,##0.00">
                  <c:v>16.850000000000001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5B-456F-B9BA-79017D87E83F}"/>
            </c:ext>
          </c:extLst>
        </c:ser>
        <c:ser>
          <c:idx val="5"/>
          <c:order val="5"/>
          <c:tx>
            <c:strRef>
              <c:f>Calculations!$A$7</c:f>
              <c:strCache>
                <c:ptCount val="1"/>
                <c:pt idx="0">
                  <c:v> Transportation 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Calculations!$B$1:$M$1</c15:sqref>
                  </c15:fullRef>
                </c:ext>
              </c:extLst>
              <c:f>Calculations!$B$1:$I$1</c:f>
              <c:strCache>
                <c:ptCount val="8"/>
                <c:pt idx="0">
                  <c:v> JUL 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</c:v>
                </c:pt>
                <c:pt idx="7">
                  <c:v>FEB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Calculations!$B$7:$M$7</c15:sqref>
                  </c15:fullRef>
                </c:ext>
              </c:extLst>
              <c:f>Calculations!$B$7:$I$7</c:f>
              <c:numCache>
                <c:formatCode>General</c:formatCode>
                <c:ptCount val="8"/>
                <c:pt idx="0" formatCode="&quot;$&quot;#,##0.00;\-&quot;$&quot;#,##0.0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5B-456F-B9BA-79017D87E83F}"/>
            </c:ext>
          </c:extLst>
        </c:ser>
        <c:ser>
          <c:idx val="6"/>
          <c:order val="6"/>
          <c:tx>
            <c:strRef>
              <c:f>Calculations!$A$8</c:f>
              <c:strCache>
                <c:ptCount val="1"/>
                <c:pt idx="0">
                  <c:v> Withdrawal </c:v>
                </c:pt>
              </c:strCache>
            </c:strRef>
          </c:tx>
          <c:spPr>
            <a:pattFill prst="narHorz">
              <a:fgClr>
                <a:schemeClr val="accent1">
                  <a:lumMod val="60000"/>
                </a:schemeClr>
              </a:fgClr>
              <a:bgClr>
                <a:schemeClr val="accent1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>
                  <a:lumMod val="60000"/>
                </a:schemeClr>
              </a:inn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Calculations!$B$1:$M$1</c15:sqref>
                  </c15:fullRef>
                </c:ext>
              </c:extLst>
              <c:f>Calculations!$B$1:$I$1</c:f>
              <c:strCache>
                <c:ptCount val="8"/>
                <c:pt idx="0">
                  <c:v> JUL 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</c:v>
                </c:pt>
                <c:pt idx="7">
                  <c:v>FEB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Calculations!$B$8:$M$8</c15:sqref>
                  </c15:fullRef>
                </c:ext>
              </c:extLst>
              <c:f>Calculations!$B$8:$I$8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6-F85B-456F-B9BA-79017D87E83F}"/>
            </c:ext>
          </c:extLst>
        </c:ser>
        <c:ser>
          <c:idx val="7"/>
          <c:order val="7"/>
          <c:tx>
            <c:strRef>
              <c:f>Calculations!$A$9</c:f>
              <c:strCache>
                <c:ptCount val="1"/>
                <c:pt idx="0">
                  <c:v> Clothing and Accessories </c:v>
                </c:pt>
              </c:strCache>
            </c:strRef>
          </c:tx>
          <c:spPr>
            <a:pattFill prst="narHorz">
              <a:fgClr>
                <a:schemeClr val="accent2">
                  <a:lumMod val="60000"/>
                </a:schemeClr>
              </a:fgClr>
              <a:bgClr>
                <a:schemeClr val="accent2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>
                  <a:lumMod val="60000"/>
                </a:schemeClr>
              </a:inn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Calculations!$B$1:$M$1</c15:sqref>
                  </c15:fullRef>
                </c:ext>
              </c:extLst>
              <c:f>Calculations!$B$1:$I$1</c:f>
              <c:strCache>
                <c:ptCount val="8"/>
                <c:pt idx="0">
                  <c:v> JUL 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</c:v>
                </c:pt>
                <c:pt idx="7">
                  <c:v>FEB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Calculations!$B$9:$M$9</c15:sqref>
                  </c15:fullRef>
                </c:ext>
              </c:extLst>
              <c:f>Calculations!$B$9:$I$9</c:f>
              <c:numCache>
                <c:formatCode>General</c:formatCode>
                <c:ptCount val="8"/>
                <c:pt idx="0" formatCode="&quot;$&quot;#,##0.00;\-&quot;$&quot;#,##0.00">
                  <c:v>29.9</c:v>
                </c:pt>
                <c:pt idx="1">
                  <c:v>66.48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85B-456F-B9BA-79017D87E83F}"/>
            </c:ext>
          </c:extLst>
        </c:ser>
        <c:ser>
          <c:idx val="8"/>
          <c:order val="8"/>
          <c:tx>
            <c:strRef>
              <c:f>Calculations!$A$10</c:f>
              <c:strCache>
                <c:ptCount val="1"/>
                <c:pt idx="0">
                  <c:v> Technology </c:v>
                </c:pt>
              </c:strCache>
            </c:strRef>
          </c:tx>
          <c:spPr>
            <a:pattFill prst="narHorz">
              <a:fgClr>
                <a:schemeClr val="accent3">
                  <a:lumMod val="60000"/>
                </a:schemeClr>
              </a:fgClr>
              <a:bgClr>
                <a:schemeClr val="accent3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>
                  <a:lumMod val="60000"/>
                </a:schemeClr>
              </a:inn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Calculations!$B$1:$M$1</c15:sqref>
                  </c15:fullRef>
                </c:ext>
              </c:extLst>
              <c:f>Calculations!$B$1:$I$1</c:f>
              <c:strCache>
                <c:ptCount val="8"/>
                <c:pt idx="0">
                  <c:v> JUL 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</c:v>
                </c:pt>
                <c:pt idx="7">
                  <c:v>FEB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Calculations!$B$10:$M$10</c15:sqref>
                  </c15:fullRef>
                </c:ext>
              </c:extLst>
              <c:f>Calculations!$B$10:$I$10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8-F85B-456F-B9BA-79017D87E83F}"/>
            </c:ext>
          </c:extLst>
        </c:ser>
        <c:ser>
          <c:idx val="9"/>
          <c:order val="9"/>
          <c:tx>
            <c:strRef>
              <c:f>Calculations!$A$11</c:f>
              <c:strCache>
                <c:ptCount val="1"/>
                <c:pt idx="0">
                  <c:v> Education </c:v>
                </c:pt>
              </c:strCache>
            </c:strRef>
          </c:tx>
          <c:spPr>
            <a:pattFill prst="narHorz">
              <a:fgClr>
                <a:schemeClr val="accent4">
                  <a:lumMod val="60000"/>
                </a:schemeClr>
              </a:fgClr>
              <a:bgClr>
                <a:schemeClr val="accent4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>
                  <a:lumMod val="60000"/>
                </a:schemeClr>
              </a:inn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Calculations!$B$1:$M$1</c15:sqref>
                  </c15:fullRef>
                </c:ext>
              </c:extLst>
              <c:f>Calculations!$B$1:$I$1</c:f>
              <c:strCache>
                <c:ptCount val="8"/>
                <c:pt idx="0">
                  <c:v> JUL 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</c:v>
                </c:pt>
                <c:pt idx="7">
                  <c:v>FEB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Calculations!$B$11:$M$11</c15:sqref>
                  </c15:fullRef>
                </c:ext>
              </c:extLst>
              <c:f>Calculations!$B$11:$I$11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F85B-456F-B9BA-79017D87E83F}"/>
            </c:ext>
          </c:extLst>
        </c:ser>
        <c:ser>
          <c:idx val="14"/>
          <c:order val="14"/>
          <c:tx>
            <c:strRef>
              <c:f>Calculations!$A$16</c:f>
              <c:strCache>
                <c:ptCount val="1"/>
                <c:pt idx="0">
                  <c:v> Miscellaneous </c:v>
                </c:pt>
              </c:strCache>
            </c:strRef>
          </c:tx>
          <c:spPr>
            <a:pattFill prst="narHorz">
              <a:fgClr>
                <a:schemeClr val="accent3">
                  <a:lumMod val="80000"/>
                  <a:lumOff val="20000"/>
                </a:schemeClr>
              </a:fgClr>
              <a:bgClr>
                <a:schemeClr val="accent3">
                  <a:lumMod val="80000"/>
                  <a:lumOff val="2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>
                  <a:lumMod val="80000"/>
                  <a:lumOff val="20000"/>
                </a:schemeClr>
              </a:inn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Calculations!$B$1:$M$1</c15:sqref>
                  </c15:fullRef>
                </c:ext>
              </c:extLst>
              <c:f>Calculations!$B$1:$I$1</c:f>
              <c:strCache>
                <c:ptCount val="8"/>
                <c:pt idx="0">
                  <c:v> JUL 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</c:v>
                </c:pt>
                <c:pt idx="7">
                  <c:v>FEB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Calculations!$B$16:$M$16</c15:sqref>
                  </c15:fullRef>
                </c:ext>
              </c:extLst>
              <c:f>Calculations!$B$16:$I$16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A-F85B-456F-B9BA-79017D87E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546071080"/>
        <c:axId val="546072720"/>
        <c:extLst>
          <c:ext xmlns:c15="http://schemas.microsoft.com/office/drawing/2012/chart" uri="{02D57815-91ED-43cb-92C2-25804820EDAC}">
            <c15:filteredBa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Calculations!$A$12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5">
                        <a:lumMod val="60000"/>
                      </a:schemeClr>
                    </a:fgClr>
                    <a:bgClr>
                      <a:schemeClr val="accent5">
                        <a:lumMod val="6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5">
                        <a:lumMod val="6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Calculations!$B$1:$M$1</c15:sqref>
                        </c15:fullRef>
                        <c15:formulaRef>
                          <c15:sqref>Calculations!$B$1:$I$1</c15:sqref>
                        </c15:formulaRef>
                      </c:ext>
                    </c:extLst>
                    <c:strCache>
                      <c:ptCount val="8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  <c:pt idx="6">
                        <c:v>JAN</c:v>
                      </c:pt>
                      <c:pt idx="7">
                        <c:v>FEB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Calculations!$B$12:$M$12</c15:sqref>
                        </c15:fullRef>
                        <c15:formulaRef>
                          <c15:sqref>Calculations!$B$12:$I$12</c15:sqref>
                        </c15:formulaRef>
                      </c:ext>
                    </c:extLst>
                    <c:numCache>
                      <c:formatCode>General</c:formatCode>
                      <c:ptCount val="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F85B-456F-B9BA-79017D87E83F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Calculations!$A$13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6">
                        <a:lumMod val="60000"/>
                      </a:schemeClr>
                    </a:fgClr>
                    <a:bgClr>
                      <a:schemeClr val="accent6">
                        <a:lumMod val="6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6">
                        <a:lumMod val="6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Calculations!$B$1:$M$1</c15:sqref>
                        </c15:fullRef>
                        <c15:formulaRef>
                          <c15:sqref>Calculations!$B$1:$I$1</c15:sqref>
                        </c15:formulaRef>
                      </c:ext>
                    </c:extLst>
                    <c:strCache>
                      <c:ptCount val="8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  <c:pt idx="6">
                        <c:v>JAN</c:v>
                      </c:pt>
                      <c:pt idx="7">
                        <c:v>FEB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Calculations!$B$13:$M$13</c15:sqref>
                        </c15:fullRef>
                        <c15:formulaRef>
                          <c15:sqref>Calculations!$B$13:$I$13</c15:sqref>
                        </c15:formulaRef>
                      </c:ext>
                    </c:extLst>
                    <c:numCache>
                      <c:formatCode>General</c:formatCode>
                      <c:ptCount val="8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85B-456F-B9BA-79017D87E83F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Calculations!$A$14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1">
                        <a:lumMod val="80000"/>
                        <a:lumOff val="20000"/>
                      </a:schemeClr>
                    </a:fgClr>
                    <a:bgClr>
                      <a:schemeClr val="accent1">
                        <a:lumMod val="80000"/>
                        <a:lumOff val="2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1">
                        <a:lumMod val="80000"/>
                        <a:lumOff val="2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Calculations!$B$1:$M$1</c15:sqref>
                        </c15:fullRef>
                        <c15:formulaRef>
                          <c15:sqref>Calculations!$B$1:$I$1</c15:sqref>
                        </c15:formulaRef>
                      </c:ext>
                    </c:extLst>
                    <c:strCache>
                      <c:ptCount val="8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  <c:pt idx="6">
                        <c:v>JAN</c:v>
                      </c:pt>
                      <c:pt idx="7">
                        <c:v>FEB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Calculations!$B$14:$M$14</c15:sqref>
                        </c15:fullRef>
                        <c15:formulaRef>
                          <c15:sqref>Calculations!$B$14:$I$14</c15:sqref>
                        </c15:formulaRef>
                      </c:ext>
                    </c:extLst>
                    <c:numCache>
                      <c:formatCode>General</c:formatCode>
                      <c:ptCount val="8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85B-456F-B9BA-79017D87E83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Calculations!$A$15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2">
                        <a:lumMod val="80000"/>
                        <a:lumOff val="20000"/>
                      </a:schemeClr>
                    </a:fgClr>
                    <a:bgClr>
                      <a:schemeClr val="accent2">
                        <a:lumMod val="80000"/>
                        <a:lumOff val="2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2">
                        <a:lumMod val="80000"/>
                        <a:lumOff val="2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Calculations!$B$1:$M$1</c15:sqref>
                        </c15:fullRef>
                        <c15:formulaRef>
                          <c15:sqref>Calculations!$B$1:$I$1</c15:sqref>
                        </c15:formulaRef>
                      </c:ext>
                    </c:extLst>
                    <c:strCache>
                      <c:ptCount val="8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  <c:pt idx="6">
                        <c:v>JAN</c:v>
                      </c:pt>
                      <c:pt idx="7">
                        <c:v>FEB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Calculations!$B$15:$M$15</c15:sqref>
                        </c15:fullRef>
                        <c15:formulaRef>
                          <c15:sqref>Calculations!$B$15:$I$15</c15:sqref>
                        </c15:formulaRef>
                      </c:ext>
                    </c:extLst>
                    <c:numCache>
                      <c:formatCode>General</c:formatCode>
                      <c:ptCount val="8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85B-456F-B9BA-79017D87E83F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Calculations!$A$17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4">
                        <a:lumMod val="80000"/>
                        <a:lumOff val="20000"/>
                      </a:schemeClr>
                    </a:fgClr>
                    <a:bgClr>
                      <a:schemeClr val="accent4">
                        <a:lumMod val="80000"/>
                        <a:lumOff val="2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4">
                        <a:lumMod val="80000"/>
                        <a:lumOff val="2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Calculations!$B$1:$M$1</c15:sqref>
                        </c15:fullRef>
                        <c15:formulaRef>
                          <c15:sqref>Calculations!$B$1:$I$1</c15:sqref>
                        </c15:formulaRef>
                      </c:ext>
                    </c:extLst>
                    <c:strCache>
                      <c:ptCount val="8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  <c:pt idx="6">
                        <c:v>JAN</c:v>
                      </c:pt>
                      <c:pt idx="7">
                        <c:v>FEB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Calculations!$B$17:$M$17</c15:sqref>
                        </c15:fullRef>
                        <c15:formulaRef>
                          <c15:sqref>Calculations!$B$17:$I$17</c15:sqref>
                        </c15:formulaRef>
                      </c:ext>
                    </c:extLst>
                    <c:numCache>
                      <c:formatCode>General</c:formatCode>
                      <c:ptCount val="8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85B-456F-B9BA-79017D87E83F}"/>
                  </c:ext>
                </c:extLst>
              </c15:ser>
            </c15:filteredBarSeries>
            <c15:filteredBa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Calculations!$A$18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5">
                        <a:lumMod val="80000"/>
                        <a:lumOff val="20000"/>
                      </a:schemeClr>
                    </a:fgClr>
                    <a:bgClr>
                      <a:schemeClr val="accent5">
                        <a:lumMod val="80000"/>
                        <a:lumOff val="2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5">
                        <a:lumMod val="80000"/>
                        <a:lumOff val="2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Calculations!$B$1:$M$1</c15:sqref>
                        </c15:fullRef>
                        <c15:formulaRef>
                          <c15:sqref>Calculations!$B$1:$I$1</c15:sqref>
                        </c15:formulaRef>
                      </c:ext>
                    </c:extLst>
                    <c:strCache>
                      <c:ptCount val="8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  <c:pt idx="6">
                        <c:v>JAN</c:v>
                      </c:pt>
                      <c:pt idx="7">
                        <c:v>FEB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Calculations!$B$18:$M$18</c15:sqref>
                        </c15:fullRef>
                        <c15:formulaRef>
                          <c15:sqref>Calculations!$B$18:$I$18</c15:sqref>
                        </c15:formulaRef>
                      </c:ext>
                    </c:extLst>
                    <c:numCache>
                      <c:formatCode>General</c:formatCode>
                      <c:ptCount val="8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85B-456F-B9BA-79017D87E83F}"/>
                  </c:ext>
                </c:extLst>
              </c15:ser>
            </c15:filteredBarSeries>
            <c15:filteredBa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Calculations!$A$19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6">
                        <a:lumMod val="80000"/>
                        <a:lumOff val="20000"/>
                      </a:schemeClr>
                    </a:fgClr>
                    <a:bgClr>
                      <a:schemeClr val="accent6">
                        <a:lumMod val="80000"/>
                        <a:lumOff val="2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6">
                        <a:lumMod val="80000"/>
                        <a:lumOff val="2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Calculations!$B$1:$M$1</c15:sqref>
                        </c15:fullRef>
                        <c15:formulaRef>
                          <c15:sqref>Calculations!$B$1:$I$1</c15:sqref>
                        </c15:formulaRef>
                      </c:ext>
                    </c:extLst>
                    <c:strCache>
                      <c:ptCount val="8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  <c:pt idx="6">
                        <c:v>JAN</c:v>
                      </c:pt>
                      <c:pt idx="7">
                        <c:v>FEB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Calculations!$B$19:$M$19</c15:sqref>
                        </c15:fullRef>
                        <c15:formulaRef>
                          <c15:sqref>Calculations!$B$19:$I$19</c15:sqref>
                        </c15:formulaRef>
                      </c:ext>
                    </c:extLst>
                    <c:numCache>
                      <c:formatCode>General</c:formatCode>
                      <c:ptCount val="8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F85B-456F-B9BA-79017D87E83F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8"/>
          <c:order val="18"/>
          <c:tx>
            <c:strRef>
              <c:f>Calculations!$A$20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1848008034817571E-2"/>
                  <c:y val="-5.1282051282051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4A-524D-AD88-1C3935318CEE}"/>
                </c:ext>
              </c:extLst>
            </c:dLbl>
            <c:dLbl>
              <c:idx val="1"/>
              <c:layout>
                <c:manualLayout>
                  <c:x val="-4.3521928356210278E-2"/>
                  <c:y val="-4.02930402930403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4A-524D-AD88-1C3935318CEE}"/>
                </c:ext>
              </c:extLst>
            </c:dLbl>
            <c:dLbl>
              <c:idx val="2"/>
              <c:layout>
                <c:manualLayout>
                  <c:x val="-3.3478406427854095E-2"/>
                  <c:y val="-5.4945054945054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4A-524D-AD88-1C3935318CEE}"/>
                </c:ext>
              </c:extLst>
            </c:dLbl>
            <c:dLbl>
              <c:idx val="3"/>
              <c:layout>
                <c:manualLayout>
                  <c:x val="-4.5195848677602887E-2"/>
                  <c:y val="-2.93040293040293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4A-524D-AD88-1C3935318CEE}"/>
                </c:ext>
              </c:extLst>
            </c:dLbl>
            <c:dLbl>
              <c:idx val="4"/>
              <c:layout>
                <c:manualLayout>
                  <c:x val="-4.0174087713424844E-2"/>
                  <c:y val="-4.39560439560439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4A-524D-AD88-1C3935318CEE}"/>
                </c:ext>
              </c:extLst>
            </c:dLbl>
            <c:dLbl>
              <c:idx val="5"/>
              <c:layout>
                <c:manualLayout>
                  <c:x val="-4.1813012209399689E-2"/>
                  <c:y val="-4.044117647058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D4A-524D-AD88-1C3935318CEE}"/>
                </c:ext>
              </c:extLst>
            </c:dLbl>
            <c:dLbl>
              <c:idx val="6"/>
              <c:layout>
                <c:manualLayout>
                  <c:x val="-3.9956976424717579E-2"/>
                  <c:y val="-6.59222032729779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4A-524D-AD88-1C3935318C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Calculations!$B$1:$M$1</c15:sqref>
                  </c15:fullRef>
                </c:ext>
              </c:extLst>
              <c:f>Calculations!$B$1:$I$1</c:f>
              <c:strCache>
                <c:ptCount val="8"/>
                <c:pt idx="0">
                  <c:v> JUL 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</c:v>
                </c:pt>
                <c:pt idx="7">
                  <c:v>FEB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Calculations!$B$20:$M$20</c15:sqref>
                  </c15:fullRef>
                </c:ext>
              </c:extLst>
              <c:f>Calculations!$B$20:$I$20</c:f>
              <c:numCache>
                <c:formatCode>_-"$"* #,##0.00_-;\-"$"* #,##0.00_-;_-"$"* "-"??_-;_-@_-</c:formatCode>
                <c:ptCount val="8"/>
                <c:pt idx="0">
                  <c:v>118.72</c:v>
                </c:pt>
                <c:pt idx="1">
                  <c:v>66.48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24-43E7-A430-2F657B919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071080"/>
        <c:axId val="546072720"/>
      </c:lineChart>
      <c:catAx>
        <c:axId val="546071080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072720"/>
        <c:crosses val="autoZero"/>
        <c:auto val="1"/>
        <c:lblAlgn val="ctr"/>
        <c:lblOffset val="100"/>
        <c:noMultiLvlLbl val="0"/>
      </c:catAx>
      <c:valAx>
        <c:axId val="546072720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$&quot;* #,##0.00_-;\-&quot;$&quot;* #,##0.0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071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Accumulation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Statistic!$A$4</c:f>
              <c:strCache>
                <c:ptCount val="1"/>
                <c:pt idx="0">
                  <c:v>VAS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Statistic!$B$1:$M$1</c15:sqref>
                  </c15:fullRef>
                </c:ext>
              </c:extLst>
              <c:f>Statistic!$B$1:$G$1</c:f>
              <c:strCache>
                <c:ptCount val="6"/>
                <c:pt idx="0">
                  <c:v> JUL 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Statistic!$B$4:$M$4</c15:sqref>
                  </c15:fullRef>
                </c:ext>
              </c:extLst>
              <c:f>Statistic!$B$4:$G$4</c:f>
              <c:numCache>
                <c:formatCode>_-"$"* #,##0.00_-;\-"$"* #,##0.00_-;_-"$"* "-"??_-;_-@_-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1980.01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FF-48ED-A159-50204FF4AF3C}"/>
            </c:ext>
          </c:extLst>
        </c:ser>
        <c:ser>
          <c:idx val="3"/>
          <c:order val="3"/>
          <c:tx>
            <c:strRef>
              <c:f>Statistic!$A$5</c:f>
              <c:strCache>
                <c:ptCount val="1"/>
              </c:strCache>
            </c:strRef>
          </c:tx>
          <c:spPr>
            <a:pattFill prst="narHorz">
              <a:fgClr>
                <a:schemeClr val="accent6">
                  <a:lumMod val="60000"/>
                </a:schemeClr>
              </a:fgClr>
              <a:bgClr>
                <a:schemeClr val="accent6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>
                  <a:lumMod val="60000"/>
                </a:schemeClr>
              </a:inn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Statistic!$B$1:$M$1</c15:sqref>
                  </c15:fullRef>
                </c:ext>
              </c:extLst>
              <c:f>Statistic!$B$1:$G$1</c:f>
              <c:strCache>
                <c:ptCount val="6"/>
                <c:pt idx="0">
                  <c:v> JUL 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Statistic!$B$5:$M$5</c15:sqref>
                  </c15:fullRef>
                </c:ext>
              </c:extLst>
              <c:f>Statistic!$B$5:$G$5</c:f>
              <c:numCache>
                <c:formatCode>_-"$"* #,##0.00_-;\-"$"* #,##0.00_-;_-"$"* "-"??_-;_-@_-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FF-48ED-A159-50204FF4A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100"/>
        <c:axId val="550533800"/>
        <c:axId val="55053314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Statistic!$A$2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spPr>
                  <a:pattFill prst="narHorz">
                    <a:fgClr>
                      <a:schemeClr val="accent6"/>
                    </a:fgClr>
                    <a:bgClr>
                      <a:schemeClr val="accent6"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6"/>
                    </a:inn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Statistic!$B$1:$M$1</c15:sqref>
                        </c15:fullRef>
                        <c15:formulaRef>
                          <c15:sqref>Statistic!$B$1:$G$1</c15:sqref>
                        </c15:formulaRef>
                      </c:ext>
                    </c:extLst>
                    <c:strCache>
                      <c:ptCount val="6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Statistic!$B$2:$M$2</c15:sqref>
                        </c15:fullRef>
                        <c15:formulaRef>
                          <c15:sqref>Statistic!$B$2:$G$2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1980.01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F4FF-48ED-A159-50204FF4AF3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Statistic!$A$6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5">
                        <a:lumMod val="60000"/>
                      </a:schemeClr>
                    </a:fgClr>
                    <a:bgClr>
                      <a:schemeClr val="accent5">
                        <a:lumMod val="6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5">
                        <a:lumMod val="6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Statistic!$B$1:$M$1</c15:sqref>
                        </c15:fullRef>
                        <c15:formulaRef>
                          <c15:sqref>Statistic!$B$1:$G$1</c15:sqref>
                        </c15:formulaRef>
                      </c:ext>
                    </c:extLst>
                    <c:strCache>
                      <c:ptCount val="6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Statistic!$B$6:$M$6</c15:sqref>
                        </c15:fullRef>
                        <c15:formulaRef>
                          <c15:sqref>Statistic!$B$6:$G$6</c15:sqref>
                        </c15:formulaRef>
                      </c:ext>
                    </c:extLst>
                    <c:numCache>
                      <c:formatCode>_-"$"* #,##0.00_-;\-"$"* #,##0.00_-;_-"$"* "-"??_-;_-@_-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4FF-48ED-A159-50204FF4AF3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Statistic!$A$7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4">
                        <a:lumMod val="60000"/>
                      </a:schemeClr>
                    </a:fgClr>
                    <a:bgClr>
                      <a:schemeClr val="accent4">
                        <a:lumMod val="6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4">
                        <a:lumMod val="6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Statistic!$B$1:$M$1</c15:sqref>
                        </c15:fullRef>
                        <c15:formulaRef>
                          <c15:sqref>Statistic!$B$1:$G$1</c15:sqref>
                        </c15:formulaRef>
                      </c:ext>
                    </c:extLst>
                    <c:strCache>
                      <c:ptCount val="6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Statistic!$B$7:$M$7</c15:sqref>
                        </c15:fullRef>
                        <c15:formulaRef>
                          <c15:sqref>Statistic!$B$7:$G$7</c15:sqref>
                        </c15:formulaRef>
                      </c:ext>
                    </c:extLst>
                    <c:numCache>
                      <c:formatCode>_-"$"* #,##0.00_-;\-"$"* #,##0.00_-;_-"$"* "-"??_-;_-@_-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4FF-48ED-A159-50204FF4AF3C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Statistic!$A$8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6">
                        <a:lumMod val="80000"/>
                        <a:lumOff val="20000"/>
                      </a:schemeClr>
                    </a:fgClr>
                    <a:bgClr>
                      <a:schemeClr val="accent6">
                        <a:lumMod val="80000"/>
                        <a:lumOff val="2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6">
                        <a:lumMod val="80000"/>
                        <a:lumOff val="2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Statistic!$B$1:$M$1</c15:sqref>
                        </c15:fullRef>
                        <c15:formulaRef>
                          <c15:sqref>Statistic!$B$1:$G$1</c15:sqref>
                        </c15:formulaRef>
                      </c:ext>
                    </c:extLst>
                    <c:strCache>
                      <c:ptCount val="6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Statistic!$B$8:$M$8</c15:sqref>
                        </c15:fullRef>
                        <c15:formulaRef>
                          <c15:sqref>Statistic!$B$8:$G$8</c15:sqref>
                        </c15:formulaRef>
                      </c:ext>
                    </c:extLst>
                    <c:numCache>
                      <c:formatCode>_-"$"* #,##0.00_-;\-"$"* #,##0.00_-;_-"$"* "-"??_-;_-@_-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4FF-48ED-A159-50204FF4AF3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Statistic!$A$9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5">
                        <a:lumMod val="80000"/>
                        <a:lumOff val="20000"/>
                      </a:schemeClr>
                    </a:fgClr>
                    <a:bgClr>
                      <a:schemeClr val="accent5">
                        <a:lumMod val="80000"/>
                        <a:lumOff val="2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5">
                        <a:lumMod val="80000"/>
                        <a:lumOff val="2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Statistic!$B$1:$M$1</c15:sqref>
                        </c15:fullRef>
                        <c15:formulaRef>
                          <c15:sqref>Statistic!$B$1:$G$1</c15:sqref>
                        </c15:formulaRef>
                      </c:ext>
                    </c:extLst>
                    <c:strCache>
                      <c:ptCount val="6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Statistic!$B$9:$M$9</c15:sqref>
                        </c15:fullRef>
                        <c15:formulaRef>
                          <c15:sqref>Statistic!$B$9:$G$9</c15:sqref>
                        </c15:formulaRef>
                      </c:ext>
                    </c:extLst>
                    <c:numCache>
                      <c:formatCode>_-"$"* #,##0.00_-;\-"$"* #,##0.00_-;_-"$"* "-"??_-;_-@_-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4FF-48ED-A159-50204FF4AF3C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Statistic!$A$10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4">
                        <a:lumMod val="80000"/>
                        <a:lumOff val="20000"/>
                      </a:schemeClr>
                    </a:fgClr>
                    <a:bgClr>
                      <a:schemeClr val="accent4">
                        <a:lumMod val="80000"/>
                        <a:lumOff val="2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4">
                        <a:lumMod val="80000"/>
                        <a:lumOff val="2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Statistic!$B$1:$M$1</c15:sqref>
                        </c15:fullRef>
                        <c15:formulaRef>
                          <c15:sqref>Statistic!$B$1:$G$1</c15:sqref>
                        </c15:formulaRef>
                      </c:ext>
                    </c:extLst>
                    <c:strCache>
                      <c:ptCount val="6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Statistic!$B$10:$M$10</c15:sqref>
                        </c15:fullRef>
                        <c15:formulaRef>
                          <c15:sqref>Statistic!$B$10:$G$10</c15:sqref>
                        </c15:formulaRef>
                      </c:ext>
                    </c:extLst>
                    <c:numCache>
                      <c:formatCode>_-"$"* #,##0.00_-;\-"$"* #,##0.00_-;_-"$"* "-"??_-;_-@_-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4FF-48ED-A159-50204FF4AF3C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Statistic!$A$11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6">
                        <a:lumMod val="80000"/>
                      </a:schemeClr>
                    </a:fgClr>
                    <a:bgClr>
                      <a:schemeClr val="accent6">
                        <a:lumMod val="8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6">
                        <a:lumMod val="8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Statistic!$B$1:$M$1</c15:sqref>
                        </c15:fullRef>
                        <c15:formulaRef>
                          <c15:sqref>Statistic!$B$1:$G$1</c15:sqref>
                        </c15:formulaRef>
                      </c:ext>
                    </c:extLst>
                    <c:strCache>
                      <c:ptCount val="6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Statistic!$B$11:$M$11</c15:sqref>
                        </c15:fullRef>
                        <c15:formulaRef>
                          <c15:sqref>Statistic!$B$11:$G$11</c15:sqref>
                        </c15:formulaRef>
                      </c:ext>
                    </c:extLst>
                    <c:numCache>
                      <c:formatCode>_-"$"* #,##0.00_-;\-"$"* #,##0.00_-;_-"$"* "-"??_-;_-@_-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4FF-48ED-A159-50204FF4AF3C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Statistic!$A$12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5">
                        <a:lumMod val="80000"/>
                      </a:schemeClr>
                    </a:fgClr>
                    <a:bgClr>
                      <a:schemeClr val="accent5">
                        <a:lumMod val="8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5">
                        <a:lumMod val="8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Statistic!$B$1:$M$1</c15:sqref>
                        </c15:fullRef>
                        <c15:formulaRef>
                          <c15:sqref>Statistic!$B$1:$G$1</c15:sqref>
                        </c15:formulaRef>
                      </c:ext>
                    </c:extLst>
                    <c:strCache>
                      <c:ptCount val="6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Statistic!$B$12:$M$12</c15:sqref>
                        </c15:fullRef>
                        <c15:formulaRef>
                          <c15:sqref>Statistic!$B$12:$G$12</c15:sqref>
                        </c15:formulaRef>
                      </c:ext>
                    </c:extLst>
                    <c:numCache>
                      <c:formatCode>_-"$"* #,##0.00_-;\-"$"* #,##0.00_-;_-"$"* "-"??_-;_-@_-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4FF-48ED-A159-50204FF4AF3C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Statistic!$A$13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4">
                        <a:lumMod val="80000"/>
                      </a:schemeClr>
                    </a:fgClr>
                    <a:bgClr>
                      <a:schemeClr val="accent4">
                        <a:lumMod val="8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4">
                        <a:lumMod val="8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Statistic!$B$1:$M$1</c15:sqref>
                        </c15:fullRef>
                        <c15:formulaRef>
                          <c15:sqref>Statistic!$B$1:$G$1</c15:sqref>
                        </c15:formulaRef>
                      </c:ext>
                    </c:extLst>
                    <c:strCache>
                      <c:ptCount val="6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Statistic!$B$13:$M$13</c15:sqref>
                        </c15:fullRef>
                        <c15:formulaRef>
                          <c15:sqref>Statistic!$B$13:$G$13</c15:sqref>
                        </c15:formulaRef>
                      </c:ext>
                    </c:extLst>
                    <c:numCache>
                      <c:formatCode>_-"$"* #,##0.00_-;\-"$"* #,##0.00_-;_-"$"* "-"??_-;_-@_-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4FF-48ED-A159-50204FF4AF3C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Statistic!$A$14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6">
                        <a:lumMod val="60000"/>
                        <a:lumOff val="40000"/>
                      </a:schemeClr>
                    </a:fgClr>
                    <a:bgClr>
                      <a:schemeClr val="accent6">
                        <a:lumMod val="60000"/>
                        <a:lumOff val="4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6">
                        <a:lumMod val="60000"/>
                        <a:lumOff val="4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Statistic!$B$1:$M$1</c15:sqref>
                        </c15:fullRef>
                        <c15:formulaRef>
                          <c15:sqref>Statistic!$B$1:$G$1</c15:sqref>
                        </c15:formulaRef>
                      </c:ext>
                    </c:extLst>
                    <c:strCache>
                      <c:ptCount val="6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Statistic!$B$14:$M$14</c15:sqref>
                        </c15:fullRef>
                        <c15:formulaRef>
                          <c15:sqref>Statistic!$B$14:$G$14</c15:sqref>
                        </c15:formulaRef>
                      </c:ext>
                    </c:extLst>
                    <c:numCache>
                      <c:formatCode>_-"$"* #,##0.00_-;\-"$"* #,##0.00_-;_-"$"* "-"??_-;_-@_-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4FF-48ED-A159-50204FF4AF3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Statistic!$A$15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5">
                        <a:lumMod val="60000"/>
                        <a:lumOff val="40000"/>
                      </a:schemeClr>
                    </a:fgClr>
                    <a:bgClr>
                      <a:schemeClr val="accent5">
                        <a:lumMod val="60000"/>
                        <a:lumOff val="4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5">
                        <a:lumMod val="60000"/>
                        <a:lumOff val="4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Statistic!$B$1:$M$1</c15:sqref>
                        </c15:fullRef>
                        <c15:formulaRef>
                          <c15:sqref>Statistic!$B$1:$G$1</c15:sqref>
                        </c15:formulaRef>
                      </c:ext>
                    </c:extLst>
                    <c:strCache>
                      <c:ptCount val="6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Statistic!$B$15:$M$15</c15:sqref>
                        </c15:fullRef>
                        <c15:formulaRef>
                          <c15:sqref>Statistic!$B$15:$G$15</c15:sqref>
                        </c15:formulaRef>
                      </c:ext>
                    </c:extLst>
                    <c:numCache>
                      <c:formatCode>_-"$"* #,##0.00_-;\-"$"* #,##0.00_-;_-"$"* "-"??_-;_-@_-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4FF-48ED-A159-50204FF4AF3C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Statistic!$A$16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4">
                        <a:lumMod val="60000"/>
                        <a:lumOff val="40000"/>
                      </a:schemeClr>
                    </a:fgClr>
                    <a:bgClr>
                      <a:schemeClr val="accent4">
                        <a:lumMod val="60000"/>
                        <a:lumOff val="4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4">
                        <a:lumMod val="60000"/>
                        <a:lumOff val="4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Statistic!$B$1:$M$1</c15:sqref>
                        </c15:fullRef>
                        <c15:formulaRef>
                          <c15:sqref>Statistic!$B$1:$G$1</c15:sqref>
                        </c15:formulaRef>
                      </c:ext>
                    </c:extLst>
                    <c:strCache>
                      <c:ptCount val="6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Statistic!$B$16:$M$16</c15:sqref>
                        </c15:fullRef>
                        <c15:formulaRef>
                          <c15:sqref>Statistic!$B$16:$G$16</c15:sqref>
                        </c15:formulaRef>
                      </c:ext>
                    </c:extLst>
                    <c:numCache>
                      <c:formatCode>_-"$"* #,##0.00_-;\-"$"* #,##0.00_-;_-"$"* "-"??_-;_-@_-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4FF-48ED-A159-50204FF4AF3C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Statistic!$A$17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6">
                        <a:lumMod val="50000"/>
                      </a:schemeClr>
                    </a:fgClr>
                    <a:bgClr>
                      <a:schemeClr val="accent6">
                        <a:lumMod val="5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6">
                        <a:lumMod val="5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Statistic!$B$1:$M$1</c15:sqref>
                        </c15:fullRef>
                        <c15:formulaRef>
                          <c15:sqref>Statistic!$B$1:$G$1</c15:sqref>
                        </c15:formulaRef>
                      </c:ext>
                    </c:extLst>
                    <c:strCache>
                      <c:ptCount val="6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Statistic!$B$17:$M$17</c15:sqref>
                        </c15:fullRef>
                        <c15:formulaRef>
                          <c15:sqref>Statistic!$B$17:$G$17</c15:sqref>
                        </c15:formulaRef>
                      </c:ext>
                    </c:extLst>
                    <c:numCache>
                      <c:formatCode>_-"$"* #,##0.00_-;\-"$"* #,##0.00_-;_-"$"* "-"??_-;_-@_-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4FF-48ED-A159-50204FF4AF3C}"/>
                  </c:ext>
                </c:extLst>
              </c15:ser>
            </c15:filteredBarSeries>
            <c15:filteredBa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Statistic!$A$18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5">
                        <a:lumMod val="50000"/>
                      </a:schemeClr>
                    </a:fgClr>
                    <a:bgClr>
                      <a:schemeClr val="accent5">
                        <a:lumMod val="5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5">
                        <a:lumMod val="5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Statistic!$B$1:$M$1</c15:sqref>
                        </c15:fullRef>
                        <c15:formulaRef>
                          <c15:sqref>Statistic!$B$1:$G$1</c15:sqref>
                        </c15:formulaRef>
                      </c:ext>
                    </c:extLst>
                    <c:strCache>
                      <c:ptCount val="6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Statistic!$B$18:$M$18</c15:sqref>
                        </c15:fullRef>
                        <c15:formulaRef>
                          <c15:sqref>Statistic!$B$18:$G$18</c15:sqref>
                        </c15:formulaRef>
                      </c:ext>
                    </c:extLst>
                    <c:numCache>
                      <c:formatCode>_-"$"* #,##0.00_-;\-"$"* #,##0.00_-;_-"$"* "-"??_-;_-@_-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4FF-48ED-A159-50204FF4AF3C}"/>
                  </c:ext>
                </c:extLst>
              </c15:ser>
            </c15:filteredBarSeries>
            <c15:filteredBa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4">
                        <a:lumMod val="50000"/>
                      </a:schemeClr>
                    </a:fgClr>
                    <a:bgClr>
                      <a:schemeClr val="accent4">
                        <a:lumMod val="5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4">
                        <a:lumMod val="5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Statistic!$B$1:$M$1</c15:sqref>
                        </c15:fullRef>
                        <c15:formulaRef>
                          <c15:sqref>Statistic!$B$1:$G$1</c15:sqref>
                        </c15:formulaRef>
                      </c:ext>
                    </c:extLst>
                    <c:strCache>
                      <c:ptCount val="6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Statistic!$B$19:$M$19</c15:sqref>
                        </c15:fullRef>
                        <c15:formulaRef>
                          <c15:sqref>Statistic!$B$19:$G$19</c15:sqref>
                        </c15:formulaRef>
                      </c:ext>
                    </c:extLst>
                    <c:numCache>
                      <c:formatCode>_-"$"* #,##0.00_-;\-"$"* #,##0.00_-;_-"$"* "-"??_-;_-@_-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4FF-48ED-A159-50204FF4AF3C}"/>
                  </c:ext>
                </c:extLst>
              </c15:ser>
            </c15:filteredBarSeries>
            <c15:filteredBa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narHorz">
                    <a:fgClr>
                      <a:schemeClr val="accent6">
                        <a:lumMod val="70000"/>
                        <a:lumOff val="30000"/>
                      </a:schemeClr>
                    </a:fgClr>
                    <a:bgClr>
                      <a:schemeClr val="accent6">
                        <a:lumMod val="70000"/>
                        <a:lumOff val="30000"/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6">
                        <a:lumMod val="70000"/>
                        <a:lumOff val="30000"/>
                      </a:schemeClr>
                    </a:inn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Statistic!$B$1:$M$1</c15:sqref>
                        </c15:fullRef>
                        <c15:formulaRef>
                          <c15:sqref>Statistic!$B$1:$G$1</c15:sqref>
                        </c15:formulaRef>
                      </c:ext>
                    </c:extLst>
                    <c:strCache>
                      <c:ptCount val="6"/>
                      <c:pt idx="0">
                        <c:v> JUL </c:v>
                      </c:pt>
                      <c:pt idx="1">
                        <c:v>AUG</c:v>
                      </c:pt>
                      <c:pt idx="2">
                        <c:v>SEP</c:v>
                      </c:pt>
                      <c:pt idx="3">
                        <c:v>OCT</c:v>
                      </c:pt>
                      <c:pt idx="4">
                        <c:v>NOV</c:v>
                      </c:pt>
                      <c:pt idx="5">
                        <c:v>DEC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Statistic!$B$20:$M$20</c15:sqref>
                        </c15:fullRef>
                        <c15:formulaRef>
                          <c15:sqref>Statistic!$B$20:$G$20</c15:sqref>
                        </c15:formulaRef>
                      </c:ext>
                    </c:extLst>
                    <c:numCache>
                      <c:formatCode>_-"$"* #,##0.00_-;\-"$"* #,##0.00_-;_-"$"* "-"??_-;_-@_-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F4FF-48ED-A159-50204FF4AF3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Statistic!$A$3</c:f>
              <c:strCache>
                <c:ptCount val="1"/>
                <c:pt idx="0">
                  <c:v>Accumulation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Statistic!$B$1:$M$1</c15:sqref>
                  </c15:fullRef>
                </c:ext>
              </c:extLst>
              <c:f>Statistic!$B$1:$G$1</c:f>
              <c:strCache>
                <c:ptCount val="6"/>
                <c:pt idx="0">
                  <c:v> JUL 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Statistic!$B$3:$M$3</c15:sqref>
                  </c15:fullRef>
                </c:ext>
              </c:extLst>
              <c:f>Statistic!$B$3:$G$3</c:f>
              <c:numCache>
                <c:formatCode>_-"$"* #,##0.00_-;\-"$"* #,##0.00_-;_-"$"* "-"??_-;_-@_-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1980.01</c:v>
                </c:pt>
                <c:pt idx="4">
                  <c:v>1980.01</c:v>
                </c:pt>
                <c:pt idx="5">
                  <c:v>1980.01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FF-48ED-A159-50204FF4A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33800"/>
        <c:axId val="550533144"/>
      </c:lineChart>
      <c:catAx>
        <c:axId val="550533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33144"/>
        <c:crosses val="autoZero"/>
        <c:auto val="1"/>
        <c:lblAlgn val="ctr"/>
        <c:lblOffset val="100"/>
        <c:noMultiLvlLbl val="0"/>
      </c:catAx>
      <c:valAx>
        <c:axId val="55053314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533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BB5B-434E-9426-DFFA5A35982C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BB5B-434E-9426-DFFA5A35982C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BB5B-434E-9426-DFFA5A35982C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BB5B-434E-9426-DFFA5A35982C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BB5B-434E-9426-DFFA5A35982C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BB5B-434E-9426-DFFA5A35982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FPosition!$P$45:$P$50</c:f>
              <c:strCache>
                <c:ptCount val="6"/>
                <c:pt idx="0">
                  <c:v>Westpac </c:v>
                </c:pt>
                <c:pt idx="1">
                  <c:v>Westpac Saving</c:v>
                </c:pt>
                <c:pt idx="2">
                  <c:v>Westpac Cash</c:v>
                </c:pt>
                <c:pt idx="3">
                  <c:v>Citibank</c:v>
                </c:pt>
                <c:pt idx="4">
                  <c:v>Raiz</c:v>
                </c:pt>
                <c:pt idx="5">
                  <c:v>VAS</c:v>
                </c:pt>
              </c:strCache>
            </c:strRef>
          </c:cat>
          <c:val>
            <c:numRef>
              <c:f>FPosition!$Q$45:$Q$50</c:f>
              <c:numCache>
                <c:formatCode>_-"$"* #,##0.00_-;\-"$"* #,##0.00_-;_-"$"* "-"??_-;_-@_-</c:formatCode>
                <c:ptCount val="6"/>
                <c:pt idx="0">
                  <c:v>20007.829999999998</c:v>
                </c:pt>
                <c:pt idx="1">
                  <c:v>2100</c:v>
                </c:pt>
                <c:pt idx="2">
                  <c:v>7500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42-434B-8C7B-DBE78858D10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245808668626498"/>
          <c:y val="0.17994343665902521"/>
          <c:w val="0.27533438533815013"/>
          <c:h val="0.529274394498156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1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16</xdr:col>
      <xdr:colOff>259080</xdr:colOff>
      <xdr:row>17</xdr:row>
      <xdr:rowOff>152400</xdr:rowOff>
    </xdr:to>
    <xdr:graphicFrame macro="">
      <xdr:nvGraphicFramePr>
        <xdr:cNvPr id="3" name="Chart 6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15240</xdr:colOff>
      <xdr:row>18</xdr:row>
      <xdr:rowOff>30480</xdr:rowOff>
    </xdr:from>
    <xdr:to>
      <xdr:col>16</xdr:col>
      <xdr:colOff>228600</xdr:colOff>
      <xdr:row>36</xdr:row>
      <xdr:rowOff>139700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44450</xdr:colOff>
      <xdr:row>43</xdr:row>
      <xdr:rowOff>177800</xdr:rowOff>
    </xdr:from>
    <xdr:to>
      <xdr:col>14</xdr:col>
      <xdr:colOff>673100</xdr:colOff>
      <xdr:row>64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12700</xdr:rowOff>
        </xdr:from>
        <xdr:to>
          <xdr:col>4</xdr:col>
          <xdr:colOff>584200</xdr:colOff>
          <xdr:row>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190500</xdr:rowOff>
        </xdr:from>
        <xdr:to>
          <xdr:col>4</xdr:col>
          <xdr:colOff>584200</xdr:colOff>
          <xdr:row>2</xdr:row>
          <xdr:rowOff>25400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25400</xdr:rowOff>
        </xdr:from>
        <xdr:to>
          <xdr:col>4</xdr:col>
          <xdr:colOff>584200</xdr:colOff>
          <xdr:row>2</xdr:row>
          <xdr:rowOff>25400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</xdr:row>
          <xdr:rowOff>177800</xdr:rowOff>
        </xdr:from>
        <xdr:to>
          <xdr:col>5</xdr:col>
          <xdr:colOff>736600</xdr:colOff>
          <xdr:row>3</xdr:row>
          <xdr:rowOff>12700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190500</xdr:rowOff>
        </xdr:from>
        <xdr:to>
          <xdr:col>4</xdr:col>
          <xdr:colOff>584200</xdr:colOff>
          <xdr:row>2</xdr:row>
          <xdr:rowOff>25400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1</xdr:row>
          <xdr:rowOff>25400</xdr:rowOff>
        </xdr:from>
        <xdr:to>
          <xdr:col>4</xdr:col>
          <xdr:colOff>584200</xdr:colOff>
          <xdr:row>2</xdr:row>
          <xdr:rowOff>25400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2</xdr:row>
          <xdr:rowOff>0</xdr:rowOff>
        </xdr:from>
        <xdr:to>
          <xdr:col>13</xdr:col>
          <xdr:colOff>25400</xdr:colOff>
          <xdr:row>3</xdr:row>
          <xdr:rowOff>25400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ato.gov.au/Individuals/Super/Super-changes/New-low-income-super-tax-offset-contribution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to.gov.au/Individuals/Medicare-levy/" TargetMode="External"/><Relationship Id="rId2" Type="http://schemas.openxmlformats.org/officeDocument/2006/relationships/hyperlink" Target="https://www.ato.gov.au/rates/individual-income-tax-rates/" TargetMode="External"/><Relationship Id="rId1" Type="http://schemas.openxmlformats.org/officeDocument/2006/relationships/hyperlink" Target="https://www.ato.gov.au/General/Capital-gains-tax/In-detail/Calculating-a-capital-gain-or-loss/Using-the-capital-gain-or-capital-loss-worksheet/?anchor=Example_Clare" TargetMode="External"/><Relationship Id="rId6" Type="http://schemas.openxmlformats.org/officeDocument/2006/relationships/hyperlink" Target="https://www.ato.gov.au/Individuals/Super/Growing-your-super/Adding-to-my-super/Government-super-contributions/" TargetMode="External"/><Relationship Id="rId5" Type="http://schemas.openxmlformats.org/officeDocument/2006/relationships/hyperlink" Target="https://www.ato.gov.au/individuals/medicare-levy/private-health-insurance-rebate/private-health-insurance-rebate-eligibility/?anchor=Claimingyourrebate" TargetMode="External"/><Relationship Id="rId4" Type="http://schemas.openxmlformats.org/officeDocument/2006/relationships/hyperlink" Target="https://www.ato.gov.au/individuals/medicare-levy/medicare-levy-surcharge/income-thresholds-and-rates-for-the-medicare-levy-surcharge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9"/>
  <sheetViews>
    <sheetView tabSelected="1" zoomScaleNormal="100" workbookViewId="0">
      <selection activeCell="D55" sqref="D55"/>
    </sheetView>
  </sheetViews>
  <sheetFormatPr baseColWidth="10" defaultColWidth="9.1640625" defaultRowHeight="15" x14ac:dyDescent="0.2"/>
  <cols>
    <col min="1" max="1" width="19.6640625" style="81" bestFit="1" customWidth="1"/>
    <col min="2" max="2" width="12.5" style="81" bestFit="1" customWidth="1"/>
    <col min="3" max="3" width="9.83203125" style="88" bestFit="1" customWidth="1"/>
    <col min="4" max="4" width="15" style="88" bestFit="1" customWidth="1"/>
    <col min="5" max="5" width="15.5" style="89" bestFit="1" customWidth="1"/>
    <col min="6" max="6" width="12.5" style="81" bestFit="1" customWidth="1"/>
    <col min="7" max="7" width="14.5" style="81" customWidth="1"/>
    <col min="8" max="8" width="24.6640625" style="81" bestFit="1" customWidth="1"/>
    <col min="9" max="9" width="14.5" style="81" customWidth="1"/>
    <col min="10" max="10" width="10.5" style="81" bestFit="1" customWidth="1"/>
    <col min="11" max="11" width="15" style="81" bestFit="1" customWidth="1"/>
    <col min="12" max="12" width="11.5" style="88" bestFit="1" customWidth="1"/>
    <col min="13" max="13" width="17" style="81" customWidth="1"/>
    <col min="14" max="14" width="19.6640625" style="81" bestFit="1" customWidth="1"/>
    <col min="15" max="15" width="9.6640625" style="81" bestFit="1" customWidth="1"/>
    <col min="16" max="16" width="12.83203125" style="81" bestFit="1" customWidth="1"/>
    <col min="17" max="17" width="12.1640625" style="81" bestFit="1" customWidth="1"/>
    <col min="18" max="19" width="11.1640625" style="81" bestFit="1" customWidth="1"/>
    <col min="20" max="20" width="11" style="81" bestFit="1" customWidth="1"/>
    <col min="21" max="22" width="11.1640625" style="81" bestFit="1" customWidth="1"/>
    <col min="23" max="23" width="11.33203125" style="81" customWidth="1"/>
    <col min="24" max="24" width="9.1640625" style="81"/>
    <col min="25" max="25" width="12.33203125" style="81" customWidth="1"/>
    <col min="26" max="16384" width="9.1640625" style="81"/>
  </cols>
  <sheetData>
    <row r="1" spans="1:9" ht="16" thickBot="1" x14ac:dyDescent="0.25">
      <c r="A1" s="79" t="s">
        <v>34</v>
      </c>
      <c r="B1" s="80"/>
      <c r="C1" s="81"/>
      <c r="D1" s="82" t="s">
        <v>4</v>
      </c>
      <c r="E1" s="83" t="s">
        <v>5</v>
      </c>
      <c r="F1" s="84" t="s">
        <v>6</v>
      </c>
      <c r="G1" s="85" t="s">
        <v>7</v>
      </c>
      <c r="H1" s="86" t="s">
        <v>8</v>
      </c>
      <c r="I1" s="87" t="s">
        <v>0</v>
      </c>
    </row>
    <row r="2" spans="1:9" x14ac:dyDescent="0.2">
      <c r="A2" s="81" t="s">
        <v>9</v>
      </c>
      <c r="B2" s="89">
        <f>FPosition!G8</f>
        <v>1350</v>
      </c>
      <c r="C2" s="81"/>
      <c r="D2" s="90" t="s">
        <v>9</v>
      </c>
      <c r="E2" s="91"/>
      <c r="F2" s="92"/>
      <c r="G2" s="92"/>
      <c r="H2" s="93"/>
      <c r="I2" s="94"/>
    </row>
    <row r="3" spans="1:9" x14ac:dyDescent="0.2">
      <c r="A3" s="81" t="s">
        <v>16</v>
      </c>
      <c r="B3" s="95">
        <f>G15</f>
        <v>52813.07</v>
      </c>
      <c r="C3" s="81"/>
      <c r="D3" s="96"/>
      <c r="E3" s="97" t="s">
        <v>10</v>
      </c>
      <c r="F3" s="98">
        <v>300</v>
      </c>
      <c r="G3" s="98"/>
      <c r="H3" s="99"/>
      <c r="I3" s="100"/>
    </row>
    <row r="4" spans="1:9" x14ac:dyDescent="0.2">
      <c r="A4" s="81" t="s">
        <v>38</v>
      </c>
      <c r="B4" s="89">
        <f>FPosition!G42</f>
        <v>6502</v>
      </c>
      <c r="C4" s="81"/>
      <c r="D4" s="96"/>
      <c r="E4" s="97" t="s">
        <v>11</v>
      </c>
      <c r="F4" s="98">
        <v>300</v>
      </c>
      <c r="G4" s="98"/>
      <c r="H4" s="99"/>
      <c r="I4" s="100"/>
    </row>
    <row r="5" spans="1:9" x14ac:dyDescent="0.2">
      <c r="A5" s="79" t="s">
        <v>22</v>
      </c>
      <c r="B5" s="80"/>
      <c r="C5" s="81"/>
      <c r="D5" s="96"/>
      <c r="E5" s="97" t="s">
        <v>12</v>
      </c>
      <c r="F5" s="98">
        <v>50</v>
      </c>
      <c r="G5" s="98"/>
      <c r="H5" s="99"/>
      <c r="I5" s="100"/>
    </row>
    <row r="6" spans="1:9" x14ac:dyDescent="0.2">
      <c r="A6" s="81" t="s">
        <v>40</v>
      </c>
      <c r="B6" s="89">
        <v>57000</v>
      </c>
      <c r="C6" s="81"/>
      <c r="D6" s="96"/>
      <c r="E6" s="97" t="s">
        <v>13</v>
      </c>
      <c r="F6" s="98">
        <v>400</v>
      </c>
      <c r="G6" s="98"/>
      <c r="H6" s="99"/>
      <c r="I6" s="100"/>
    </row>
    <row r="7" spans="1:9" x14ac:dyDescent="0.2">
      <c r="B7" s="89"/>
      <c r="C7" s="81"/>
      <c r="D7" s="96"/>
      <c r="E7" s="97" t="s">
        <v>14</v>
      </c>
      <c r="F7" s="98">
        <v>300</v>
      </c>
      <c r="G7" s="98"/>
      <c r="H7" s="99"/>
      <c r="I7" s="100"/>
    </row>
    <row r="8" spans="1:9" ht="16" thickBot="1" x14ac:dyDescent="0.25">
      <c r="A8" s="79" t="s">
        <v>112</v>
      </c>
      <c r="B8" s="79"/>
      <c r="C8" s="81"/>
      <c r="D8" s="101"/>
      <c r="E8" s="102"/>
      <c r="F8" s="103"/>
      <c r="G8" s="103">
        <f>SUM(F2:F7)</f>
        <v>1350</v>
      </c>
      <c r="H8" s="104" t="s">
        <v>15</v>
      </c>
      <c r="I8" s="105"/>
    </row>
    <row r="9" spans="1:9" x14ac:dyDescent="0.2">
      <c r="A9" s="81" t="s">
        <v>91</v>
      </c>
      <c r="B9" s="95">
        <f>F45</f>
        <v>0</v>
      </c>
      <c r="C9" s="81"/>
      <c r="D9" s="106" t="s">
        <v>16</v>
      </c>
      <c r="E9" s="97" t="s">
        <v>44</v>
      </c>
      <c r="F9" s="107">
        <f xml:space="preserve"> 17205.24-Westpac!P2</f>
        <v>17205.240000000002</v>
      </c>
      <c r="G9" s="108"/>
      <c r="H9" s="97"/>
      <c r="I9" s="100"/>
    </row>
    <row r="10" spans="1:9" x14ac:dyDescent="0.2">
      <c r="C10" s="81"/>
      <c r="D10" s="109"/>
      <c r="E10" s="97" t="s">
        <v>110</v>
      </c>
      <c r="F10" s="107">
        <f>Westpac!P8</f>
        <v>20007.829999999998</v>
      </c>
      <c r="G10" s="108"/>
      <c r="H10" s="97"/>
      <c r="I10" s="100"/>
    </row>
    <row r="11" spans="1:9" x14ac:dyDescent="0.2">
      <c r="D11" s="109"/>
      <c r="E11" s="110" t="s">
        <v>114</v>
      </c>
      <c r="F11" s="111">
        <f>'Westpac Saving'!P8</f>
        <v>2100</v>
      </c>
      <c r="G11" s="108"/>
      <c r="H11" s="97"/>
      <c r="I11" s="100"/>
    </row>
    <row r="12" spans="1:9" x14ac:dyDescent="0.2">
      <c r="D12" s="109"/>
      <c r="E12" s="242" t="s">
        <v>202</v>
      </c>
      <c r="F12" s="111">
        <f>'Westpac Cash'!P8</f>
        <v>7500</v>
      </c>
      <c r="G12" s="108"/>
      <c r="H12" s="97"/>
      <c r="I12" s="100"/>
    </row>
    <row r="13" spans="1:9" ht="16" thickBot="1" x14ac:dyDescent="0.25">
      <c r="A13" s="112" t="s">
        <v>41</v>
      </c>
      <c r="B13" s="113">
        <f>SUM(B2:B4)-SUM(B6:B7)</f>
        <v>3665.0699999999997</v>
      </c>
      <c r="D13" s="109"/>
      <c r="E13" s="242" t="s">
        <v>21</v>
      </c>
      <c r="F13" s="111">
        <f>Q50</f>
        <v>2000</v>
      </c>
      <c r="G13" s="108"/>
      <c r="H13" s="97"/>
      <c r="I13" s="100"/>
    </row>
    <row r="14" spans="1:9" ht="16" thickTop="1" x14ac:dyDescent="0.2">
      <c r="A14" s="79" t="s">
        <v>35</v>
      </c>
      <c r="B14" s="115"/>
      <c r="C14" s="81"/>
      <c r="D14" s="109"/>
      <c r="E14" s="97" t="s">
        <v>109</v>
      </c>
      <c r="F14" s="107">
        <f>Citibank!P8</f>
        <v>2000</v>
      </c>
      <c r="G14" s="111">
        <f>SUM(F10:F15)</f>
        <v>35607.83</v>
      </c>
      <c r="H14" s="97" t="s">
        <v>153</v>
      </c>
      <c r="I14" s="100"/>
    </row>
    <row r="15" spans="1:9" ht="16" thickBot="1" x14ac:dyDescent="0.25">
      <c r="A15" s="81" t="s">
        <v>99</v>
      </c>
      <c r="B15" s="88">
        <f>Salary!D2</f>
        <v>20000</v>
      </c>
      <c r="C15" s="118">
        <f>(B24)/($B$15+$B$16+$B$17+B18)</f>
        <v>0.99126198761402518</v>
      </c>
      <c r="D15" s="109"/>
      <c r="E15" s="235" t="s">
        <v>201</v>
      </c>
      <c r="F15" s="107">
        <f>Raiz!P8+F46</f>
        <v>2000</v>
      </c>
      <c r="G15" s="111">
        <f>SUM(F9:F15)</f>
        <v>52813.07</v>
      </c>
      <c r="H15" s="114" t="s">
        <v>15</v>
      </c>
      <c r="I15" s="100"/>
    </row>
    <row r="16" spans="1:9" ht="16" thickBot="1" x14ac:dyDescent="0.25">
      <c r="A16" s="81" t="s">
        <v>90</v>
      </c>
      <c r="B16" s="88">
        <f>Salary!I2</f>
        <v>10.059999999999999</v>
      </c>
      <c r="C16" s="118"/>
      <c r="D16" s="82" t="s">
        <v>23</v>
      </c>
      <c r="E16" s="83"/>
      <c r="F16" s="84" t="s">
        <v>6</v>
      </c>
      <c r="G16" s="116" t="s">
        <v>7</v>
      </c>
      <c r="H16" s="117"/>
      <c r="I16" s="87"/>
    </row>
    <row r="17" spans="1:16" x14ac:dyDescent="0.2">
      <c r="A17" s="81" t="s">
        <v>51</v>
      </c>
      <c r="B17" s="88">
        <f>Salary!N2</f>
        <v>0</v>
      </c>
      <c r="C17" s="118"/>
      <c r="D17" s="119" t="s">
        <v>113</v>
      </c>
      <c r="E17" s="97"/>
      <c r="F17" s="107"/>
      <c r="G17" s="107"/>
      <c r="H17" s="120"/>
      <c r="I17" s="100" t="s">
        <v>24</v>
      </c>
    </row>
    <row r="18" spans="1:16" x14ac:dyDescent="0.2">
      <c r="A18" s="155" t="s">
        <v>193</v>
      </c>
      <c r="B18" s="89">
        <v>1396.41</v>
      </c>
      <c r="D18" s="96"/>
      <c r="E18" s="121"/>
      <c r="F18" s="107"/>
      <c r="G18" s="107">
        <f>Calculations!N2</f>
        <v>0</v>
      </c>
      <c r="H18" s="122" t="s">
        <v>140</v>
      </c>
      <c r="I18" s="123">
        <f t="shared" ref="I18:I26" si="0">G18/($F$34-$F$18)</f>
        <v>0</v>
      </c>
    </row>
    <row r="19" spans="1:16" x14ac:dyDescent="0.2">
      <c r="A19" s="79" t="s">
        <v>39</v>
      </c>
      <c r="B19" s="115"/>
      <c r="C19" s="126"/>
      <c r="D19" s="96"/>
      <c r="E19" s="97"/>
      <c r="F19" s="107"/>
      <c r="G19" s="107">
        <f>Calculations!N3</f>
        <v>6.99</v>
      </c>
      <c r="H19" s="122" t="s">
        <v>26</v>
      </c>
      <c r="I19" s="123">
        <f t="shared" si="0"/>
        <v>3.7742980561555076E-2</v>
      </c>
    </row>
    <row r="20" spans="1:16" x14ac:dyDescent="0.2">
      <c r="A20" s="81" t="s">
        <v>18</v>
      </c>
      <c r="B20" s="88">
        <f>Westpac!P2+'Westpac Saving'!P2+Citibank!P2+Raiz!P2</f>
        <v>0</v>
      </c>
      <c r="C20" s="118">
        <f>(-B20)/($B$15+$B$16+$B$17+$B$18)</f>
        <v>0</v>
      </c>
      <c r="D20" s="96"/>
      <c r="E20" s="97"/>
      <c r="F20" s="107"/>
      <c r="G20" s="107">
        <f>Calculations!N4</f>
        <v>14.98</v>
      </c>
      <c r="H20" s="122" t="s">
        <v>68</v>
      </c>
      <c r="I20" s="123">
        <f t="shared" si="0"/>
        <v>8.0885529157667391E-2</v>
      </c>
    </row>
    <row r="21" spans="1:16" x14ac:dyDescent="0.2">
      <c r="A21" s="81" t="s">
        <v>23</v>
      </c>
      <c r="B21" s="88">
        <f>F34*-1</f>
        <v>-185.2</v>
      </c>
      <c r="C21" s="118">
        <f t="shared" ref="C21:C23" si="1">(-B21)/($B$15+$B$16+$B$17+$B$18)</f>
        <v>8.6515899165065507E-3</v>
      </c>
      <c r="D21" s="96"/>
      <c r="E21" s="97"/>
      <c r="F21" s="107"/>
      <c r="G21" s="107">
        <f>Calculations!N5</f>
        <v>0</v>
      </c>
      <c r="H21" s="122" t="s">
        <v>27</v>
      </c>
      <c r="I21" s="123">
        <f t="shared" si="0"/>
        <v>0</v>
      </c>
    </row>
    <row r="22" spans="1:16" x14ac:dyDescent="0.2">
      <c r="A22" s="81" t="s">
        <v>45</v>
      </c>
      <c r="B22" s="88">
        <f>Westpac!P4+Citibank!P4</f>
        <v>0</v>
      </c>
      <c r="C22" s="118">
        <f t="shared" si="1"/>
        <v>0</v>
      </c>
      <c r="D22" s="96"/>
      <c r="E22" s="97"/>
      <c r="F22" s="107"/>
      <c r="G22" s="107">
        <f>Calculations!N6</f>
        <v>16.850000000000001</v>
      </c>
      <c r="H22" s="122" t="s">
        <v>28</v>
      </c>
      <c r="I22" s="123">
        <f t="shared" si="0"/>
        <v>9.0982721382289425E-2</v>
      </c>
      <c r="M22" s="125"/>
    </row>
    <row r="23" spans="1:16" x14ac:dyDescent="0.2">
      <c r="A23" s="81" t="s">
        <v>84</v>
      </c>
      <c r="B23" s="88">
        <f>Westpac!P5+Citibank!P5+Raiz!P5</f>
        <v>-1.85</v>
      </c>
      <c r="C23" s="118">
        <f t="shared" si="1"/>
        <v>8.6422469468342978E-5</v>
      </c>
      <c r="D23" s="96"/>
      <c r="E23" s="97"/>
      <c r="F23" s="107"/>
      <c r="G23" s="107">
        <f>Calculations!N7</f>
        <v>50</v>
      </c>
      <c r="H23" s="122" t="s">
        <v>29</v>
      </c>
      <c r="I23" s="123">
        <f t="shared" si="0"/>
        <v>0.26997840172786181</v>
      </c>
    </row>
    <row r="24" spans="1:16" ht="16" thickBot="1" x14ac:dyDescent="0.25">
      <c r="A24" s="112" t="s">
        <v>42</v>
      </c>
      <c r="B24" s="127">
        <f>SUM(B15:B23)</f>
        <v>21219.420000000002</v>
      </c>
      <c r="C24" s="126">
        <f>SUM(C15:C23)</f>
        <v>1</v>
      </c>
      <c r="D24" s="96"/>
      <c r="E24" s="97"/>
      <c r="F24" s="107"/>
      <c r="G24" s="107">
        <f>Calculations!N8</f>
        <v>0</v>
      </c>
      <c r="H24" s="122" t="s">
        <v>30</v>
      </c>
      <c r="I24" s="123">
        <f t="shared" si="0"/>
        <v>0</v>
      </c>
    </row>
    <row r="25" spans="1:16" ht="16" thickTop="1" x14ac:dyDescent="0.2">
      <c r="A25" s="81" t="s">
        <v>138</v>
      </c>
      <c r="C25" s="126"/>
      <c r="D25" s="96"/>
      <c r="E25" s="97"/>
      <c r="F25" s="107"/>
      <c r="G25" s="107">
        <f>Calculations!N9</f>
        <v>96.38</v>
      </c>
      <c r="H25" s="128" t="s">
        <v>31</v>
      </c>
      <c r="I25" s="123">
        <f t="shared" si="0"/>
        <v>0.52041036717062639</v>
      </c>
    </row>
    <row r="26" spans="1:16" x14ac:dyDescent="0.2">
      <c r="A26" s="79" t="s">
        <v>137</v>
      </c>
      <c r="B26" s="79"/>
      <c r="C26" s="81"/>
      <c r="D26" s="96"/>
      <c r="E26" s="97"/>
      <c r="F26" s="107"/>
      <c r="G26" s="107">
        <f>Calculations!N10</f>
        <v>0</v>
      </c>
      <c r="H26" s="243" t="s">
        <v>221</v>
      </c>
      <c r="I26" s="123">
        <f t="shared" si="0"/>
        <v>0</v>
      </c>
    </row>
    <row r="27" spans="1:16" x14ac:dyDescent="0.2">
      <c r="A27" s="97"/>
      <c r="B27" s="129"/>
      <c r="C27" s="81"/>
      <c r="D27" s="96"/>
      <c r="E27" s="97"/>
      <c r="F27" s="107"/>
      <c r="G27" s="107">
        <f>Calculations!N11</f>
        <v>0</v>
      </c>
      <c r="H27" s="243" t="s">
        <v>195</v>
      </c>
      <c r="I27" s="123">
        <f t="shared" ref="I27:I32" si="2">G27/($F$34-$F$18)</f>
        <v>0</v>
      </c>
      <c r="M27" s="125"/>
    </row>
    <row r="28" spans="1:16" x14ac:dyDescent="0.2">
      <c r="A28" s="131" t="s">
        <v>156</v>
      </c>
      <c r="B28" s="132"/>
      <c r="C28" s="81"/>
      <c r="D28" s="96"/>
      <c r="E28" s="97"/>
      <c r="F28" s="107"/>
      <c r="G28" s="107"/>
      <c r="H28" s="128"/>
      <c r="I28" s="123">
        <f t="shared" si="2"/>
        <v>0</v>
      </c>
      <c r="M28" s="125"/>
      <c r="P28" s="248"/>
    </row>
    <row r="29" spans="1:16" x14ac:dyDescent="0.2">
      <c r="A29" s="79" t="s">
        <v>121</v>
      </c>
      <c r="B29" s="134">
        <v>43281</v>
      </c>
      <c r="C29" s="81"/>
      <c r="D29" s="96"/>
      <c r="E29" s="97"/>
      <c r="F29" s="107"/>
      <c r="G29" s="107"/>
      <c r="H29" s="128"/>
      <c r="I29" s="123">
        <f t="shared" si="2"/>
        <v>0</v>
      </c>
      <c r="M29" s="125"/>
      <c r="P29" s="248"/>
    </row>
    <row r="30" spans="1:16" x14ac:dyDescent="0.2">
      <c r="A30" s="79" t="s">
        <v>154</v>
      </c>
      <c r="B30" s="136">
        <v>150</v>
      </c>
      <c r="D30" s="96"/>
      <c r="E30" s="97"/>
      <c r="F30" s="107"/>
      <c r="G30" s="107"/>
      <c r="H30" s="128"/>
      <c r="I30" s="123">
        <f t="shared" si="2"/>
        <v>0</v>
      </c>
      <c r="M30" s="125"/>
    </row>
    <row r="31" spans="1:16" x14ac:dyDescent="0.2">
      <c r="A31" s="79" t="s">
        <v>157</v>
      </c>
      <c r="B31" s="89">
        <v>11650</v>
      </c>
      <c r="D31" s="96"/>
      <c r="E31" s="97"/>
      <c r="F31" s="107"/>
      <c r="G31" s="107"/>
      <c r="H31" s="128"/>
      <c r="I31" s="123">
        <f t="shared" si="2"/>
        <v>0</v>
      </c>
      <c r="M31" s="125"/>
    </row>
    <row r="32" spans="1:16" x14ac:dyDescent="0.2">
      <c r="A32" s="79" t="s">
        <v>158</v>
      </c>
      <c r="B32" s="88">
        <f>B31+TestDates(B29)*B30</f>
        <v>16150</v>
      </c>
      <c r="D32" s="96"/>
      <c r="E32" s="97"/>
      <c r="F32" s="107"/>
      <c r="G32" s="107"/>
      <c r="H32" s="128"/>
      <c r="I32" s="123">
        <f t="shared" si="2"/>
        <v>0</v>
      </c>
      <c r="J32" s="95"/>
      <c r="M32" s="125"/>
    </row>
    <row r="33" spans="1:25" x14ac:dyDescent="0.2">
      <c r="A33" s="79" t="s">
        <v>120</v>
      </c>
      <c r="B33" s="88">
        <f>G14-B32</f>
        <v>19457.830000000002</v>
      </c>
      <c r="D33" s="96"/>
      <c r="E33" s="97"/>
      <c r="F33" s="107"/>
      <c r="G33" s="107">
        <f>Calculations!N16</f>
        <v>0</v>
      </c>
      <c r="H33" s="122" t="s">
        <v>33</v>
      </c>
      <c r="I33" s="123">
        <f>G33/($F$34-$F$18)</f>
        <v>0</v>
      </c>
      <c r="M33" s="125"/>
    </row>
    <row r="34" spans="1:25" ht="16" thickBot="1" x14ac:dyDescent="0.25">
      <c r="A34" s="137"/>
      <c r="B34" s="88"/>
      <c r="C34" s="89"/>
      <c r="D34" s="96"/>
      <c r="E34" s="97" t="s">
        <v>15</v>
      </c>
      <c r="F34" s="107">
        <f>SUM(G18:G34,F18)</f>
        <v>185.2</v>
      </c>
      <c r="G34" s="107"/>
      <c r="H34" s="128"/>
      <c r="I34" s="130">
        <f>SUM(I18:I33)</f>
        <v>1</v>
      </c>
      <c r="K34" s="141"/>
      <c r="L34" s="121"/>
      <c r="M34" s="125"/>
    </row>
    <row r="35" spans="1:25" x14ac:dyDescent="0.2">
      <c r="A35" s="79" t="s">
        <v>141</v>
      </c>
      <c r="B35" s="95">
        <f>-Tax!B31</f>
        <v>-740.99927714285752</v>
      </c>
      <c r="D35" s="90" t="s">
        <v>38</v>
      </c>
      <c r="E35" s="91" t="s">
        <v>17</v>
      </c>
      <c r="F35" s="92">
        <v>4208</v>
      </c>
      <c r="G35" s="92"/>
      <c r="H35" s="133"/>
      <c r="I35" s="94"/>
      <c r="J35" s="95">
        <f>6502-F35</f>
        <v>2294</v>
      </c>
      <c r="K35" s="141"/>
      <c r="L35" s="121"/>
      <c r="M35" s="125"/>
    </row>
    <row r="36" spans="1:25" x14ac:dyDescent="0.2">
      <c r="A36" s="79" t="s">
        <v>139</v>
      </c>
      <c r="B36" s="89">
        <f>B33+B35</f>
        <v>18716.830722857143</v>
      </c>
      <c r="C36" s="26"/>
      <c r="D36" s="135"/>
      <c r="E36" s="227" t="s">
        <v>150</v>
      </c>
      <c r="F36" s="98"/>
      <c r="G36" s="98"/>
      <c r="H36" s="114"/>
      <c r="I36" s="100"/>
      <c r="K36" s="141"/>
      <c r="L36" s="121"/>
      <c r="M36" s="125"/>
    </row>
    <row r="37" spans="1:25" x14ac:dyDescent="0.2">
      <c r="D37" s="135" t="s">
        <v>142</v>
      </c>
      <c r="E37" s="228"/>
      <c r="F37" s="98"/>
      <c r="G37" s="98"/>
      <c r="H37" s="114"/>
      <c r="I37" s="100"/>
      <c r="L37" s="81"/>
    </row>
    <row r="38" spans="1:25" x14ac:dyDescent="0.2">
      <c r="A38" s="79" t="s">
        <v>93</v>
      </c>
      <c r="B38" s="79" t="s">
        <v>92</v>
      </c>
      <c r="D38" s="135" t="s">
        <v>143</v>
      </c>
      <c r="E38" s="228"/>
      <c r="F38" s="98"/>
      <c r="G38" s="98"/>
      <c r="H38" s="114"/>
      <c r="I38" s="100"/>
      <c r="L38" s="81"/>
    </row>
    <row r="39" spans="1:25" x14ac:dyDescent="0.2">
      <c r="A39" s="79" t="s">
        <v>83</v>
      </c>
      <c r="B39" s="89">
        <v>1900</v>
      </c>
      <c r="D39" s="135" t="s">
        <v>144</v>
      </c>
      <c r="E39" s="228"/>
      <c r="F39" s="98"/>
      <c r="G39" s="98"/>
      <c r="H39" s="114"/>
      <c r="I39" s="100"/>
      <c r="J39" s="147"/>
      <c r="L39" s="81"/>
    </row>
    <row r="40" spans="1:25" x14ac:dyDescent="0.2">
      <c r="A40" s="79" t="s">
        <v>82</v>
      </c>
      <c r="B40" s="89"/>
      <c r="D40" s="135" t="s">
        <v>145</v>
      </c>
      <c r="E40" s="228"/>
      <c r="F40" s="98"/>
      <c r="G40" s="98"/>
      <c r="H40" s="114"/>
      <c r="I40" s="100"/>
      <c r="J40" s="147"/>
      <c r="L40" s="259"/>
      <c r="R40" s="265" t="s">
        <v>218</v>
      </c>
      <c r="S40" s="265"/>
      <c r="T40" s="265" t="s">
        <v>220</v>
      </c>
      <c r="U40" s="265"/>
      <c r="V40" s="265" t="s">
        <v>219</v>
      </c>
      <c r="W40" s="265"/>
      <c r="X40" s="265"/>
      <c r="Y40" s="265"/>
    </row>
    <row r="41" spans="1:25" x14ac:dyDescent="0.2">
      <c r="A41" s="79" t="s">
        <v>81</v>
      </c>
      <c r="B41" s="89"/>
      <c r="D41" s="135" t="s">
        <v>180</v>
      </c>
      <c r="E41" s="228"/>
      <c r="F41" s="98">
        <f>J35</f>
        <v>2294</v>
      </c>
      <c r="G41" s="98"/>
      <c r="H41" s="114"/>
      <c r="I41" s="100"/>
      <c r="L41" s="81"/>
      <c r="R41" s="265"/>
      <c r="S41" s="265"/>
      <c r="T41" s="265"/>
      <c r="U41" s="265"/>
      <c r="V41" s="265"/>
      <c r="W41" s="265"/>
      <c r="X41" s="265"/>
      <c r="Y41" s="265"/>
    </row>
    <row r="42" spans="1:25" ht="16" thickBot="1" x14ac:dyDescent="0.25">
      <c r="A42" s="79" t="s">
        <v>80</v>
      </c>
      <c r="B42" s="89"/>
      <c r="D42" s="138"/>
      <c r="E42" s="139"/>
      <c r="F42" s="108"/>
      <c r="G42" s="98">
        <f>SUM(F35:F41)</f>
        <v>6502</v>
      </c>
      <c r="H42" s="114" t="s">
        <v>15</v>
      </c>
      <c r="I42" s="140"/>
      <c r="K42" s="147"/>
      <c r="L42" s="121"/>
      <c r="M42" s="121"/>
      <c r="R42" s="265"/>
      <c r="S42" s="265"/>
      <c r="T42" s="265"/>
      <c r="U42" s="265"/>
      <c r="V42" s="265"/>
      <c r="W42" s="265"/>
      <c r="X42" s="265"/>
      <c r="Y42" s="265"/>
    </row>
    <row r="43" spans="1:25" x14ac:dyDescent="0.2">
      <c r="A43" s="79" t="s">
        <v>79</v>
      </c>
      <c r="B43" s="89"/>
      <c r="D43" s="142" t="s">
        <v>111</v>
      </c>
      <c r="E43" s="143"/>
      <c r="F43" s="144"/>
      <c r="G43" s="144">
        <v>55000</v>
      </c>
      <c r="H43" s="91" t="s">
        <v>17</v>
      </c>
      <c r="I43" s="145"/>
      <c r="K43" s="147"/>
      <c r="L43" s="121"/>
      <c r="M43" s="121"/>
      <c r="R43" s="262" t="s">
        <v>210</v>
      </c>
      <c r="S43" s="262" t="s">
        <v>214</v>
      </c>
      <c r="T43" s="262" t="s">
        <v>210</v>
      </c>
      <c r="U43" s="262" t="s">
        <v>216</v>
      </c>
      <c r="V43" s="262" t="s">
        <v>210</v>
      </c>
      <c r="W43" s="262" t="s">
        <v>217</v>
      </c>
      <c r="Y43" s="262"/>
    </row>
    <row r="44" spans="1:25" ht="16" thickBot="1" x14ac:dyDescent="0.25">
      <c r="A44" s="79" t="s">
        <v>78</v>
      </c>
      <c r="B44" s="89"/>
      <c r="D44" s="148"/>
      <c r="E44" s="104" t="s">
        <v>15</v>
      </c>
      <c r="F44" s="244">
        <f>SUM(F43:G43)</f>
        <v>55000</v>
      </c>
      <c r="G44" s="244"/>
      <c r="H44" s="245"/>
      <c r="I44" s="246"/>
      <c r="K44" s="147"/>
      <c r="L44" s="121"/>
      <c r="M44" s="121"/>
      <c r="S44" s="89">
        <v>20000</v>
      </c>
      <c r="U44" s="89">
        <v>40000</v>
      </c>
      <c r="W44" s="89">
        <v>60000</v>
      </c>
    </row>
    <row r="45" spans="1:25" x14ac:dyDescent="0.2">
      <c r="A45" s="79" t="s">
        <v>77</v>
      </c>
      <c r="B45" s="89"/>
      <c r="D45" s="146" t="s">
        <v>91</v>
      </c>
      <c r="E45" s="91" t="s">
        <v>15</v>
      </c>
      <c r="F45" s="92"/>
      <c r="G45" s="92"/>
      <c r="H45" s="91" t="s">
        <v>17</v>
      </c>
      <c r="I45" s="94"/>
      <c r="J45" s="147"/>
      <c r="K45" s="147"/>
      <c r="L45" s="121"/>
      <c r="M45" s="121"/>
      <c r="P45" s="249" t="str">
        <f t="shared" ref="P45:Q47" si="3">E10</f>
        <v xml:space="preserve">Westpac </v>
      </c>
      <c r="Q45" s="250">
        <f t="shared" si="3"/>
        <v>20007.829999999998</v>
      </c>
      <c r="R45" s="259">
        <f>$S$44*S45</f>
        <v>200</v>
      </c>
      <c r="S45" s="126">
        <v>0.01</v>
      </c>
      <c r="T45" s="259">
        <f>$U$44*U45</f>
        <v>200</v>
      </c>
      <c r="U45" s="126">
        <v>5.0000000000000001E-3</v>
      </c>
      <c r="V45" s="259">
        <f>$W$44*W45</f>
        <v>150</v>
      </c>
      <c r="W45" s="126">
        <v>2.5000000000000001E-3</v>
      </c>
    </row>
    <row r="46" spans="1:25" x14ac:dyDescent="0.2">
      <c r="A46" s="79" t="s">
        <v>76</v>
      </c>
      <c r="B46" s="89"/>
      <c r="D46" s="241"/>
      <c r="E46" s="235" t="s">
        <v>201</v>
      </c>
      <c r="F46" s="98">
        <f>Q49-(Raiz!P8-Raiz!O24)</f>
        <v>991.79000000000008</v>
      </c>
      <c r="G46" s="98"/>
      <c r="H46" s="97"/>
      <c r="I46" s="100"/>
      <c r="K46" s="147"/>
      <c r="L46" s="121"/>
      <c r="M46" s="121"/>
      <c r="P46" s="251" t="str">
        <f t="shared" si="3"/>
        <v>Westpac Saving</v>
      </c>
      <c r="Q46" s="252">
        <f t="shared" si="3"/>
        <v>2100</v>
      </c>
      <c r="R46" s="259">
        <f t="shared" ref="R46:R64" si="4">$S$44*S46</f>
        <v>1700.0000000000002</v>
      </c>
      <c r="S46" s="126">
        <v>8.5000000000000006E-2</v>
      </c>
      <c r="T46" s="259">
        <f t="shared" ref="T46:T64" si="5">$U$44*U46</f>
        <v>7600</v>
      </c>
      <c r="U46" s="126">
        <v>0.19</v>
      </c>
      <c r="V46" s="259">
        <f t="shared" ref="V46:V64" si="6">$W$44*W46</f>
        <v>5700</v>
      </c>
      <c r="W46" s="126">
        <v>9.5000000000000001E-2</v>
      </c>
    </row>
    <row r="47" spans="1:25" x14ac:dyDescent="0.2">
      <c r="A47" s="79" t="s">
        <v>75</v>
      </c>
      <c r="B47" s="89"/>
      <c r="D47" s="241"/>
      <c r="E47" s="97" t="s">
        <v>203</v>
      </c>
      <c r="F47" s="98">
        <f>Q50-Stock!N2*SNum!N2</f>
        <v>19.990000000000009</v>
      </c>
      <c r="G47" s="98"/>
      <c r="H47" s="97"/>
      <c r="I47" s="100"/>
      <c r="K47" s="147"/>
      <c r="L47" s="121"/>
      <c r="M47" s="121"/>
      <c r="P47" s="251" t="str">
        <f t="shared" si="3"/>
        <v>Westpac Cash</v>
      </c>
      <c r="Q47" s="252">
        <f t="shared" si="3"/>
        <v>7500</v>
      </c>
      <c r="R47" s="259">
        <f t="shared" si="4"/>
        <v>100</v>
      </c>
      <c r="S47" s="126">
        <v>5.0000000000000001E-3</v>
      </c>
      <c r="T47" s="259">
        <f t="shared" si="5"/>
        <v>200</v>
      </c>
      <c r="U47" s="126">
        <v>5.0000000000000001E-3</v>
      </c>
      <c r="V47" s="259">
        <f t="shared" si="6"/>
        <v>150</v>
      </c>
      <c r="W47" s="126">
        <v>2.5000000000000001E-3</v>
      </c>
    </row>
    <row r="48" spans="1:25" x14ac:dyDescent="0.2">
      <c r="A48" s="79" t="s">
        <v>74</v>
      </c>
      <c r="B48" s="89"/>
      <c r="D48" s="241"/>
      <c r="E48" s="97"/>
      <c r="F48" s="98"/>
      <c r="G48" s="98"/>
      <c r="H48" s="97"/>
      <c r="I48" s="100"/>
      <c r="K48" s="147"/>
      <c r="L48" s="121"/>
      <c r="M48" s="121"/>
      <c r="P48" s="251" t="str">
        <f>E14</f>
        <v>Citibank</v>
      </c>
      <c r="Q48" s="252">
        <f>F14</f>
        <v>2000</v>
      </c>
      <c r="R48" s="259">
        <f t="shared" si="4"/>
        <v>0</v>
      </c>
      <c r="S48" s="261">
        <v>0</v>
      </c>
      <c r="T48" s="259">
        <f t="shared" si="5"/>
        <v>0</v>
      </c>
      <c r="U48" s="261">
        <v>0</v>
      </c>
      <c r="V48" s="259">
        <f t="shared" si="6"/>
        <v>0</v>
      </c>
      <c r="W48" s="261">
        <v>0</v>
      </c>
    </row>
    <row r="49" spans="1:23" x14ac:dyDescent="0.2">
      <c r="A49" s="79" t="s">
        <v>73</v>
      </c>
      <c r="B49" s="89">
        <v>1200</v>
      </c>
      <c r="D49" s="241"/>
      <c r="E49" s="97"/>
      <c r="F49" s="98"/>
      <c r="G49" s="98"/>
      <c r="H49" s="97"/>
      <c r="I49" s="100"/>
      <c r="K49" s="147"/>
      <c r="L49" s="121"/>
      <c r="M49" s="121"/>
      <c r="P49" s="251" t="str">
        <f>E46</f>
        <v>Raiz</v>
      </c>
      <c r="Q49" s="256">
        <v>2000</v>
      </c>
      <c r="R49" s="259">
        <f t="shared" si="4"/>
        <v>0</v>
      </c>
      <c r="S49" s="261">
        <v>0</v>
      </c>
      <c r="T49" s="259">
        <f t="shared" si="5"/>
        <v>0</v>
      </c>
      <c r="U49" s="261">
        <v>0</v>
      </c>
      <c r="V49" s="259">
        <f t="shared" si="6"/>
        <v>0</v>
      </c>
      <c r="W49" s="261">
        <v>0</v>
      </c>
    </row>
    <row r="50" spans="1:23" x14ac:dyDescent="0.2">
      <c r="A50" s="79" t="s">
        <v>72</v>
      </c>
      <c r="B50" s="89">
        <f>SUM(B39:B49)</f>
        <v>3100</v>
      </c>
      <c r="D50" s="241"/>
      <c r="E50" s="97"/>
      <c r="F50" s="98"/>
      <c r="G50" s="98"/>
      <c r="H50" s="97"/>
      <c r="I50" s="100"/>
      <c r="K50" s="147"/>
      <c r="L50" s="121"/>
      <c r="M50" s="121"/>
      <c r="P50" s="251" t="str">
        <f>E47</f>
        <v>VAS</v>
      </c>
      <c r="Q50" s="257">
        <v>2000</v>
      </c>
      <c r="R50" s="259">
        <f t="shared" si="4"/>
        <v>5500</v>
      </c>
      <c r="S50" s="261">
        <v>0.27500000000000002</v>
      </c>
      <c r="T50" s="259">
        <f t="shared" si="5"/>
        <v>10000</v>
      </c>
      <c r="U50" s="261">
        <v>0.25</v>
      </c>
      <c r="V50" s="259">
        <f t="shared" si="6"/>
        <v>16350.000000000002</v>
      </c>
      <c r="W50" s="261">
        <v>0.27250000000000002</v>
      </c>
    </row>
    <row r="51" spans="1:23" x14ac:dyDescent="0.2">
      <c r="A51" s="79"/>
      <c r="B51" s="89"/>
      <c r="D51" s="241"/>
      <c r="E51" s="97"/>
      <c r="F51" s="98"/>
      <c r="G51" s="98"/>
      <c r="H51" s="97"/>
      <c r="I51" s="100"/>
      <c r="K51" s="147"/>
      <c r="L51" s="121"/>
      <c r="M51" s="121"/>
      <c r="P51" s="260" t="s">
        <v>213</v>
      </c>
      <c r="Q51" s="253"/>
      <c r="R51" s="259">
        <f t="shared" si="4"/>
        <v>12500</v>
      </c>
      <c r="S51" s="261">
        <f>37.5%+25%</f>
        <v>0.625</v>
      </c>
      <c r="T51" s="259">
        <f t="shared" si="5"/>
        <v>22000</v>
      </c>
      <c r="U51" s="261">
        <v>0.55000000000000004</v>
      </c>
      <c r="V51" s="259">
        <f t="shared" si="6"/>
        <v>22650</v>
      </c>
      <c r="W51" s="261">
        <v>0.3775</v>
      </c>
    </row>
    <row r="52" spans="1:23" x14ac:dyDescent="0.2">
      <c r="A52" s="79" t="s">
        <v>19</v>
      </c>
      <c r="B52" s="89"/>
      <c r="D52" s="241"/>
      <c r="E52" s="97"/>
      <c r="F52" s="98"/>
      <c r="G52" s="98"/>
      <c r="H52" s="97"/>
      <c r="I52" s="100"/>
      <c r="K52" s="147"/>
      <c r="L52" s="121"/>
      <c r="M52" s="121"/>
      <c r="P52" s="260" t="s">
        <v>211</v>
      </c>
      <c r="Q52" s="253"/>
      <c r="R52" s="259">
        <f t="shared" si="4"/>
        <v>0</v>
      </c>
      <c r="S52" s="261">
        <v>0</v>
      </c>
      <c r="T52" s="259">
        <f t="shared" si="5"/>
        <v>0</v>
      </c>
      <c r="U52" s="261">
        <v>0</v>
      </c>
      <c r="V52" s="259">
        <f t="shared" si="6"/>
        <v>15000</v>
      </c>
      <c r="W52" s="261">
        <v>0.25</v>
      </c>
    </row>
    <row r="53" spans="1:23" x14ac:dyDescent="0.2">
      <c r="A53" s="79" t="s">
        <v>71</v>
      </c>
      <c r="B53" s="89">
        <v>1850</v>
      </c>
      <c r="D53" s="241"/>
      <c r="E53" s="97"/>
      <c r="F53" s="98"/>
      <c r="G53" s="98"/>
      <c r="H53" s="97"/>
      <c r="I53" s="100"/>
      <c r="M53" s="121"/>
      <c r="P53" s="260" t="s">
        <v>212</v>
      </c>
      <c r="Q53" s="253"/>
      <c r="R53" s="259">
        <f t="shared" si="4"/>
        <v>0</v>
      </c>
      <c r="S53" s="261">
        <v>0</v>
      </c>
      <c r="T53" s="259">
        <f t="shared" si="5"/>
        <v>0</v>
      </c>
      <c r="U53" s="261">
        <v>0</v>
      </c>
      <c r="V53" s="259">
        <f t="shared" si="6"/>
        <v>0</v>
      </c>
      <c r="W53" s="261">
        <v>0</v>
      </c>
    </row>
    <row r="54" spans="1:23" x14ac:dyDescent="0.2">
      <c r="A54" s="79" t="s">
        <v>70</v>
      </c>
      <c r="B54" s="89">
        <v>800</v>
      </c>
      <c r="D54" s="241"/>
      <c r="E54" s="97"/>
      <c r="F54" s="98"/>
      <c r="G54" s="98"/>
      <c r="H54" s="97"/>
      <c r="I54" s="100"/>
      <c r="J54" s="147"/>
      <c r="M54" s="121"/>
      <c r="P54" s="260" t="s">
        <v>215</v>
      </c>
      <c r="Q54" s="253"/>
      <c r="R54" s="259">
        <f t="shared" si="4"/>
        <v>0</v>
      </c>
      <c r="S54" s="126">
        <v>0</v>
      </c>
      <c r="T54" s="259">
        <f t="shared" si="5"/>
        <v>0</v>
      </c>
      <c r="U54" s="126">
        <v>0</v>
      </c>
      <c r="V54" s="259">
        <f t="shared" si="6"/>
        <v>0</v>
      </c>
      <c r="W54" s="126">
        <v>0</v>
      </c>
    </row>
    <row r="55" spans="1:23" x14ac:dyDescent="0.2">
      <c r="A55" s="79"/>
      <c r="B55" s="89"/>
      <c r="D55" s="241"/>
      <c r="E55" s="97"/>
      <c r="F55" s="98"/>
      <c r="G55" s="98"/>
      <c r="H55" s="97"/>
      <c r="I55" s="100"/>
      <c r="L55" s="121"/>
      <c r="M55" s="121"/>
      <c r="P55" s="251" t="str">
        <f t="shared" ref="P55:P65" si="7">IF(E52="","",E52)</f>
        <v/>
      </c>
      <c r="Q55" s="253"/>
      <c r="R55" s="259">
        <f t="shared" si="4"/>
        <v>0</v>
      </c>
      <c r="S55" s="126"/>
      <c r="T55" s="259">
        <f t="shared" si="5"/>
        <v>0</v>
      </c>
      <c r="U55" s="126"/>
      <c r="V55" s="259">
        <f t="shared" si="6"/>
        <v>0</v>
      </c>
      <c r="W55" s="126"/>
    </row>
    <row r="56" spans="1:23" x14ac:dyDescent="0.2">
      <c r="A56" s="151" t="s">
        <v>69</v>
      </c>
      <c r="B56" s="89">
        <f>SUM(B53:B54)-B50</f>
        <v>-450</v>
      </c>
      <c r="D56" s="241"/>
      <c r="E56" s="97"/>
      <c r="F56" s="98"/>
      <c r="G56" s="98"/>
      <c r="H56" s="97"/>
      <c r="I56" s="100"/>
      <c r="K56" s="147"/>
      <c r="L56" s="121"/>
      <c r="M56" s="121"/>
      <c r="P56" s="251" t="str">
        <f t="shared" si="7"/>
        <v/>
      </c>
      <c r="Q56" s="253"/>
      <c r="R56" s="259">
        <f t="shared" si="4"/>
        <v>0</v>
      </c>
      <c r="S56" s="126"/>
      <c r="T56" s="259">
        <f t="shared" si="5"/>
        <v>0</v>
      </c>
      <c r="U56" s="126"/>
      <c r="V56" s="259">
        <f t="shared" si="6"/>
        <v>0</v>
      </c>
      <c r="W56" s="126"/>
    </row>
    <row r="57" spans="1:23" x14ac:dyDescent="0.2">
      <c r="D57" s="241"/>
      <c r="E57" s="97"/>
      <c r="F57" s="98"/>
      <c r="G57" s="98"/>
      <c r="H57" s="97"/>
      <c r="I57" s="100"/>
      <c r="J57" s="147"/>
      <c r="M57" s="121"/>
      <c r="P57" s="251" t="str">
        <f t="shared" si="7"/>
        <v/>
      </c>
      <c r="Q57" s="253"/>
      <c r="R57" s="259">
        <f t="shared" si="4"/>
        <v>0</v>
      </c>
      <c r="S57" s="126"/>
      <c r="T57" s="259">
        <f t="shared" si="5"/>
        <v>0</v>
      </c>
      <c r="U57" s="126"/>
      <c r="V57" s="259">
        <f t="shared" si="6"/>
        <v>0</v>
      </c>
      <c r="W57" s="126"/>
    </row>
    <row r="58" spans="1:23" x14ac:dyDescent="0.2">
      <c r="A58" s="156" t="s">
        <v>118</v>
      </c>
      <c r="D58" s="241"/>
      <c r="E58" s="97"/>
      <c r="F58" s="98"/>
      <c r="G58" s="98"/>
      <c r="H58" s="97"/>
      <c r="I58" s="100"/>
      <c r="J58" s="147"/>
      <c r="M58" s="121"/>
      <c r="P58" s="251" t="str">
        <f t="shared" si="7"/>
        <v/>
      </c>
      <c r="Q58" s="253"/>
      <c r="R58" s="259">
        <f t="shared" si="4"/>
        <v>0</v>
      </c>
      <c r="S58" s="126"/>
      <c r="T58" s="259">
        <f t="shared" si="5"/>
        <v>0</v>
      </c>
      <c r="U58" s="126"/>
      <c r="V58" s="259">
        <f t="shared" si="6"/>
        <v>0</v>
      </c>
      <c r="W58" s="126"/>
    </row>
    <row r="59" spans="1:23" x14ac:dyDescent="0.2">
      <c r="A59" s="152">
        <v>42826</v>
      </c>
      <c r="B59" s="155" t="s">
        <v>163</v>
      </c>
      <c r="D59" s="241"/>
      <c r="E59" s="97"/>
      <c r="F59" s="98"/>
      <c r="G59" s="98"/>
      <c r="H59" s="97"/>
      <c r="I59" s="100"/>
      <c r="J59" s="147"/>
      <c r="M59" s="121"/>
      <c r="P59" s="251" t="str">
        <f t="shared" si="7"/>
        <v/>
      </c>
      <c r="Q59" s="253"/>
      <c r="R59" s="259">
        <f t="shared" si="4"/>
        <v>0</v>
      </c>
      <c r="S59" s="126"/>
      <c r="T59" s="259">
        <f t="shared" si="5"/>
        <v>0</v>
      </c>
      <c r="U59" s="126"/>
      <c r="V59" s="259">
        <f t="shared" si="6"/>
        <v>0</v>
      </c>
      <c r="W59" s="126"/>
    </row>
    <row r="60" spans="1:23" x14ac:dyDescent="0.2">
      <c r="A60" s="152">
        <v>42826</v>
      </c>
      <c r="B60" s="81" t="s">
        <v>119</v>
      </c>
      <c r="D60" s="241"/>
      <c r="E60" s="97"/>
      <c r="F60" s="98"/>
      <c r="G60" s="98"/>
      <c r="H60" s="97"/>
      <c r="I60" s="100"/>
      <c r="J60" s="147"/>
      <c r="M60" s="121"/>
      <c r="P60" s="251" t="str">
        <f t="shared" si="7"/>
        <v/>
      </c>
      <c r="Q60" s="253"/>
      <c r="R60" s="259">
        <f t="shared" si="4"/>
        <v>0</v>
      </c>
      <c r="S60" s="126"/>
      <c r="T60" s="259">
        <f t="shared" si="5"/>
        <v>0</v>
      </c>
      <c r="U60" s="126"/>
      <c r="V60" s="259">
        <f t="shared" si="6"/>
        <v>0</v>
      </c>
      <c r="W60" s="126"/>
    </row>
    <row r="61" spans="1:23" x14ac:dyDescent="0.2">
      <c r="A61" s="152">
        <v>42826</v>
      </c>
      <c r="B61" s="81" t="s">
        <v>134</v>
      </c>
      <c r="D61" s="241"/>
      <c r="E61" s="97"/>
      <c r="F61" s="98"/>
      <c r="G61" s="98"/>
      <c r="H61" s="97"/>
      <c r="I61" s="100"/>
      <c r="J61" s="147"/>
      <c r="M61" s="121"/>
      <c r="P61" s="251" t="str">
        <f t="shared" si="7"/>
        <v/>
      </c>
      <c r="Q61" s="253"/>
      <c r="R61" s="259">
        <f t="shared" si="4"/>
        <v>0</v>
      </c>
      <c r="S61" s="126"/>
      <c r="T61" s="259">
        <f t="shared" si="5"/>
        <v>0</v>
      </c>
      <c r="U61" s="126"/>
      <c r="V61" s="259">
        <f t="shared" si="6"/>
        <v>0</v>
      </c>
      <c r="W61" s="126"/>
    </row>
    <row r="62" spans="1:23" x14ac:dyDescent="0.2">
      <c r="A62" s="152">
        <v>42826</v>
      </c>
      <c r="B62" s="81" t="s">
        <v>135</v>
      </c>
      <c r="D62" s="241"/>
      <c r="E62" s="97"/>
      <c r="F62" s="98"/>
      <c r="G62" s="98"/>
      <c r="H62" s="97"/>
      <c r="I62" s="100"/>
      <c r="J62" s="147"/>
      <c r="K62" s="147"/>
      <c r="L62" s="121"/>
      <c r="M62" s="121"/>
      <c r="P62" s="251" t="str">
        <f t="shared" si="7"/>
        <v/>
      </c>
      <c r="Q62" s="253"/>
      <c r="R62" s="259">
        <f t="shared" si="4"/>
        <v>0</v>
      </c>
      <c r="S62" s="126"/>
      <c r="T62" s="259">
        <f t="shared" si="5"/>
        <v>0</v>
      </c>
      <c r="U62" s="126"/>
      <c r="V62" s="259">
        <f t="shared" si="6"/>
        <v>0</v>
      </c>
      <c r="W62" s="126"/>
    </row>
    <row r="63" spans="1:23" x14ac:dyDescent="0.2">
      <c r="A63" s="152">
        <v>42940</v>
      </c>
      <c r="B63" s="81" t="s">
        <v>151</v>
      </c>
      <c r="D63" s="241"/>
      <c r="E63" s="97"/>
      <c r="F63" s="98"/>
      <c r="G63" s="98"/>
      <c r="H63" s="97"/>
      <c r="I63" s="100"/>
      <c r="J63" s="147"/>
      <c r="K63" s="147"/>
      <c r="L63" s="121"/>
      <c r="M63" s="121"/>
      <c r="P63" s="251" t="str">
        <f t="shared" si="7"/>
        <v/>
      </c>
      <c r="Q63" s="253"/>
      <c r="R63" s="259">
        <f t="shared" si="4"/>
        <v>0</v>
      </c>
      <c r="S63" s="126"/>
      <c r="T63" s="259">
        <f t="shared" si="5"/>
        <v>0</v>
      </c>
      <c r="U63" s="126"/>
      <c r="V63" s="259">
        <f t="shared" si="6"/>
        <v>0</v>
      </c>
      <c r="W63" s="126"/>
    </row>
    <row r="64" spans="1:23" x14ac:dyDescent="0.2">
      <c r="A64" s="152">
        <v>42943</v>
      </c>
      <c r="B64" s="81" t="s">
        <v>159</v>
      </c>
      <c r="D64" s="241"/>
      <c r="E64" s="97"/>
      <c r="F64" s="98"/>
      <c r="G64" s="98"/>
      <c r="H64" s="97"/>
      <c r="I64" s="100"/>
      <c r="J64" s="147"/>
      <c r="M64" s="121"/>
      <c r="P64" s="251" t="str">
        <f t="shared" si="7"/>
        <v/>
      </c>
      <c r="Q64" s="253"/>
      <c r="R64" s="259">
        <f t="shared" si="4"/>
        <v>0</v>
      </c>
      <c r="S64" s="126"/>
      <c r="T64" s="259">
        <f t="shared" si="5"/>
        <v>0</v>
      </c>
      <c r="U64" s="126"/>
      <c r="V64" s="259">
        <f t="shared" si="6"/>
        <v>0</v>
      </c>
      <c r="W64" s="126"/>
    </row>
    <row r="65" spans="1:23" ht="16" thickBot="1" x14ac:dyDescent="0.25">
      <c r="A65" s="152">
        <v>43001</v>
      </c>
      <c r="B65" s="155" t="s">
        <v>170</v>
      </c>
      <c r="D65" s="148"/>
      <c r="E65" s="102"/>
      <c r="F65" s="149"/>
      <c r="G65" s="149"/>
      <c r="H65" s="102"/>
      <c r="I65" s="150"/>
      <c r="J65" s="147"/>
      <c r="M65" s="121"/>
      <c r="P65" s="254" t="str">
        <f t="shared" si="7"/>
        <v/>
      </c>
      <c r="Q65" s="255"/>
      <c r="S65" s="126">
        <f>SUM(S45:S64)</f>
        <v>1</v>
      </c>
      <c r="U65" s="126">
        <f>SUM(U45:U64)</f>
        <v>1</v>
      </c>
      <c r="W65" s="126">
        <f>SUM(W45:W64)</f>
        <v>1</v>
      </c>
    </row>
    <row r="66" spans="1:23" x14ac:dyDescent="0.2">
      <c r="A66" s="152">
        <v>43013</v>
      </c>
      <c r="B66" s="155" t="s">
        <v>173</v>
      </c>
      <c r="D66" s="81"/>
      <c r="E66" s="147"/>
      <c r="F66" s="121"/>
      <c r="G66" s="125"/>
      <c r="J66" s="147"/>
      <c r="P66" s="258"/>
      <c r="Q66" s="258"/>
      <c r="R66" s="155" t="s">
        <v>19</v>
      </c>
      <c r="S66" s="259">
        <f>R51/54*4+R46*0.0255+R50/75*3.3</f>
        <v>1211.275925925926</v>
      </c>
      <c r="U66" s="259">
        <f>T51/54*4+T46*0.0255+T50/75*3.3</f>
        <v>2263.4296296296297</v>
      </c>
      <c r="W66" s="259">
        <f>V51/54*4+V46*0.0255+V50/75*3.3</f>
        <v>2542.5277777777778</v>
      </c>
    </row>
    <row r="67" spans="1:23" x14ac:dyDescent="0.2">
      <c r="A67" s="152">
        <v>43055</v>
      </c>
      <c r="B67" s="155" t="s">
        <v>175</v>
      </c>
      <c r="D67" s="81"/>
      <c r="E67" s="147"/>
      <c r="F67" s="121"/>
      <c r="G67" s="125"/>
      <c r="J67" s="141"/>
      <c r="S67" s="81">
        <f>S66/S44</f>
        <v>6.0563796296296303E-2</v>
      </c>
      <c r="U67" s="81">
        <f>U66/U44</f>
        <v>5.6585740740740742E-2</v>
      </c>
      <c r="V67" s="259"/>
      <c r="W67" s="81">
        <f>W66/W44</f>
        <v>4.2375462962962962E-2</v>
      </c>
    </row>
    <row r="68" spans="1:23" x14ac:dyDescent="0.2">
      <c r="A68" s="152">
        <v>43095</v>
      </c>
      <c r="B68" s="155" t="s">
        <v>178</v>
      </c>
      <c r="D68" s="81"/>
      <c r="E68" s="147"/>
      <c r="F68" s="121"/>
      <c r="G68" s="125"/>
      <c r="J68" s="141"/>
    </row>
    <row r="69" spans="1:23" x14ac:dyDescent="0.2">
      <c r="A69" s="152">
        <v>43394</v>
      </c>
      <c r="B69" s="155" t="s">
        <v>207</v>
      </c>
      <c r="D69" s="81"/>
      <c r="E69" s="147"/>
      <c r="F69" s="121"/>
      <c r="G69" s="125"/>
      <c r="J69" s="141"/>
      <c r="V69" s="155"/>
    </row>
    <row r="70" spans="1:23" x14ac:dyDescent="0.2">
      <c r="A70" s="152"/>
      <c r="B70" s="155"/>
      <c r="D70" s="81"/>
      <c r="E70" s="147"/>
      <c r="F70" s="121"/>
      <c r="G70" s="125"/>
      <c r="J70" s="141"/>
    </row>
    <row r="71" spans="1:23" x14ac:dyDescent="0.2">
      <c r="A71" s="152"/>
      <c r="B71" s="155"/>
      <c r="D71" s="81"/>
      <c r="E71" s="147"/>
      <c r="F71" s="121"/>
      <c r="G71" s="125"/>
      <c r="J71" s="141"/>
    </row>
    <row r="72" spans="1:23" x14ac:dyDescent="0.2">
      <c r="A72" s="152"/>
      <c r="B72" s="155"/>
      <c r="D72" s="81"/>
      <c r="E72" s="147"/>
      <c r="F72" s="121"/>
      <c r="G72" s="125"/>
      <c r="J72" s="141"/>
    </row>
    <row r="73" spans="1:23" x14ac:dyDescent="0.2">
      <c r="D73" s="81"/>
      <c r="E73" s="147"/>
      <c r="F73" s="121"/>
      <c r="G73" s="125"/>
      <c r="J73" s="141"/>
    </row>
    <row r="74" spans="1:23" x14ac:dyDescent="0.2">
      <c r="A74" s="156" t="s">
        <v>155</v>
      </c>
      <c r="D74" s="81"/>
      <c r="E74" s="147"/>
      <c r="F74" s="121"/>
      <c r="G74" s="121"/>
    </row>
    <row r="75" spans="1:23" x14ac:dyDescent="0.2">
      <c r="A75" s="155" t="s">
        <v>171</v>
      </c>
    </row>
    <row r="76" spans="1:23" x14ac:dyDescent="0.2">
      <c r="A76" s="155" t="s">
        <v>208</v>
      </c>
    </row>
    <row r="77" spans="1:23" x14ac:dyDescent="0.2">
      <c r="A77" s="155" t="s">
        <v>209</v>
      </c>
      <c r="J77" s="147"/>
    </row>
    <row r="78" spans="1:23" x14ac:dyDescent="0.2">
      <c r="A78" s="155"/>
      <c r="J78" s="147"/>
    </row>
    <row r="79" spans="1:23" x14ac:dyDescent="0.2">
      <c r="J79" s="147"/>
    </row>
    <row r="80" spans="1:23" x14ac:dyDescent="0.2">
      <c r="A80" s="156" t="s">
        <v>164</v>
      </c>
      <c r="B80" s="121"/>
      <c r="J80" s="147"/>
    </row>
    <row r="81" spans="1:4" x14ac:dyDescent="0.2">
      <c r="A81" s="42" t="s">
        <v>165</v>
      </c>
      <c r="B81" s="121"/>
    </row>
    <row r="82" spans="1:4" x14ac:dyDescent="0.2">
      <c r="A82" s="42" t="s">
        <v>166</v>
      </c>
      <c r="B82" s="121"/>
    </row>
    <row r="83" spans="1:4" x14ac:dyDescent="0.2">
      <c r="A83" s="42" t="s">
        <v>167</v>
      </c>
      <c r="B83" s="157" t="s">
        <v>44</v>
      </c>
    </row>
    <row r="84" spans="1:4" x14ac:dyDescent="0.2">
      <c r="A84" s="42" t="s">
        <v>168</v>
      </c>
      <c r="B84" s="157" t="s">
        <v>169</v>
      </c>
    </row>
    <row r="86" spans="1:4" x14ac:dyDescent="0.2">
      <c r="A86" s="153" t="s">
        <v>160</v>
      </c>
      <c r="B86" s="88"/>
      <c r="C86" s="125"/>
      <c r="D86" s="81"/>
    </row>
    <row r="87" spans="1:4" x14ac:dyDescent="0.2">
      <c r="A87" s="155" t="s">
        <v>161</v>
      </c>
      <c r="B87" s="88"/>
      <c r="C87" s="124"/>
      <c r="D87" s="38" t="s">
        <v>162</v>
      </c>
    </row>
    <row r="88" spans="1:4" x14ac:dyDescent="0.2">
      <c r="A88" s="168">
        <v>43073</v>
      </c>
      <c r="B88" s="221" t="s">
        <v>176</v>
      </c>
      <c r="C88" s="221" t="s">
        <v>45</v>
      </c>
      <c r="D88" s="223">
        <v>-2.19</v>
      </c>
    </row>
    <row r="89" spans="1:4" x14ac:dyDescent="0.2">
      <c r="A89" s="34">
        <v>43129</v>
      </c>
      <c r="B89" s="221" t="s">
        <v>179</v>
      </c>
      <c r="C89" s="221" t="s">
        <v>45</v>
      </c>
      <c r="D89" s="233">
        <v>-3.38</v>
      </c>
    </row>
    <row r="98" spans="4:9" x14ac:dyDescent="0.2">
      <c r="D98" s="129"/>
      <c r="E98" s="139"/>
      <c r="F98" s="97"/>
      <c r="G98" s="97"/>
      <c r="H98" s="97"/>
      <c r="I98" s="97"/>
    </row>
    <row r="99" spans="4:9" x14ac:dyDescent="0.2">
      <c r="D99" s="129"/>
      <c r="E99" s="139"/>
      <c r="F99" s="97"/>
      <c r="G99" s="97"/>
      <c r="H99" s="97"/>
      <c r="I99" s="97"/>
    </row>
  </sheetData>
  <mergeCells count="4">
    <mergeCell ref="R40:S42"/>
    <mergeCell ref="T40:U42"/>
    <mergeCell ref="V40:W42"/>
    <mergeCell ref="X40:Y42"/>
  </mergeCells>
  <conditionalFormatting sqref="B33:B34">
    <cfRule type="cellIs" dxfId="7" priority="5" operator="lessThan">
      <formula>0</formula>
    </cfRule>
    <cfRule type="cellIs" dxfId="6" priority="6" operator="greaterThan">
      <formula>0</formula>
    </cfRule>
  </conditionalFormatting>
  <conditionalFormatting sqref="B36">
    <cfRule type="cellIs" dxfId="5" priority="3" operator="lessThanOrEqual">
      <formula>0</formula>
    </cfRule>
    <cfRule type="cellIs" dxfId="4" priority="4" operator="greaterThan">
      <formula>0</formula>
    </cfRule>
  </conditionalFormatting>
  <conditionalFormatting sqref="B24">
    <cfRule type="cellIs" dxfId="3" priority="1" operator="lessThan">
      <formula>0</formula>
    </cfRule>
    <cfRule type="cellIs" dxfId="2" priority="2" operator="greaterThanOrEqual">
      <formula>0</formula>
    </cfRule>
  </conditionalFormatting>
  <hyperlinks>
    <hyperlink ref="D87" r:id="rId1" xr:uid="{00000000-0004-0000-0000-000000000000}"/>
  </hyperlinks>
  <pageMargins left="0.7" right="0.7" top="0.75" bottom="0.75" header="0.3" footer="0.3"/>
  <ignoredErrors>
    <ignoredError sqref="S65 U65 W6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13"/>
  <sheetViews>
    <sheetView zoomScale="120" zoomScaleNormal="120" workbookViewId="0">
      <selection activeCell="D11" sqref="D11"/>
    </sheetView>
  </sheetViews>
  <sheetFormatPr baseColWidth="10" defaultColWidth="9.1640625" defaultRowHeight="15" x14ac:dyDescent="0.2"/>
  <cols>
    <col min="1" max="1" width="11.33203125" style="168" customWidth="1"/>
    <col min="2" max="2" width="24.1640625" style="169" bestFit="1" customWidth="1"/>
    <col min="3" max="3" width="14" style="169" customWidth="1"/>
    <col min="4" max="4" width="11.5" style="170" customWidth="1"/>
    <col min="5" max="5" width="9.1640625" style="166"/>
    <col min="6" max="6" width="15" style="166" customWidth="1"/>
    <col min="7" max="7" width="18.1640625" style="166" bestFit="1" customWidth="1"/>
    <col min="8" max="9" width="11.5" style="192" customWidth="1"/>
    <col min="10" max="10" width="24.6640625" style="166" customWidth="1"/>
    <col min="11" max="11" width="11.33203125" style="166" bestFit="1" customWidth="1"/>
    <col min="12" max="12" width="9.1640625" style="166"/>
    <col min="13" max="13" width="15.33203125" style="166" customWidth="1"/>
    <col min="14" max="14" width="15.5" style="166" customWidth="1"/>
    <col min="15" max="15" width="12.5" style="192" bestFit="1" customWidth="1"/>
    <col min="16" max="16" width="12.5" style="166" bestFit="1" customWidth="1"/>
    <col min="17" max="17" width="16.5" style="190" customWidth="1"/>
    <col min="18" max="18" width="10.6640625" style="166" bestFit="1" customWidth="1"/>
    <col min="19" max="16384" width="9.1640625" style="166"/>
  </cols>
  <sheetData>
    <row r="1" spans="1:18" ht="16" thickBot="1" x14ac:dyDescent="0.25">
      <c r="A1" s="158" t="s">
        <v>0</v>
      </c>
      <c r="B1" s="159" t="s">
        <v>1</v>
      </c>
      <c r="C1" s="159" t="s">
        <v>2</v>
      </c>
      <c r="D1" s="160" t="s">
        <v>3</v>
      </c>
      <c r="E1" s="161"/>
      <c r="F1" s="162" t="s">
        <v>23</v>
      </c>
      <c r="G1" s="162"/>
      <c r="H1" s="163" t="s">
        <v>6</v>
      </c>
      <c r="I1" s="164" t="s">
        <v>7</v>
      </c>
      <c r="J1" s="165"/>
      <c r="K1" s="162"/>
      <c r="M1" s="162" t="s">
        <v>4</v>
      </c>
      <c r="N1" s="162" t="s">
        <v>5</v>
      </c>
      <c r="O1" s="163" t="s">
        <v>6</v>
      </c>
      <c r="P1" s="164" t="s">
        <v>7</v>
      </c>
      <c r="Q1" s="167" t="s">
        <v>8</v>
      </c>
      <c r="R1" s="162" t="s">
        <v>0</v>
      </c>
    </row>
    <row r="2" spans="1:18" x14ac:dyDescent="0.2">
      <c r="A2" s="34">
        <v>43283</v>
      </c>
      <c r="B2" s="221" t="s">
        <v>181</v>
      </c>
      <c r="C2" s="221" t="s">
        <v>172</v>
      </c>
      <c r="D2" s="226">
        <v>-14.98</v>
      </c>
      <c r="F2" s="171" t="s">
        <v>20</v>
      </c>
      <c r="G2" s="172"/>
      <c r="H2" s="173"/>
      <c r="I2" s="173"/>
      <c r="J2" s="174"/>
      <c r="K2" s="175" t="s">
        <v>24</v>
      </c>
      <c r="M2" s="166" t="s">
        <v>16</v>
      </c>
      <c r="N2" s="166" t="s">
        <v>17</v>
      </c>
      <c r="O2" s="176">
        <v>143.03</v>
      </c>
      <c r="P2" s="225">
        <f>SUM(H20:I53)</f>
        <v>0</v>
      </c>
      <c r="Q2" s="178" t="s">
        <v>18</v>
      </c>
    </row>
    <row r="3" spans="1:18" x14ac:dyDescent="0.2">
      <c r="A3" s="189">
        <v>43290</v>
      </c>
      <c r="B3" s="221" t="s">
        <v>183</v>
      </c>
      <c r="C3" s="222" t="s">
        <v>184</v>
      </c>
      <c r="D3" s="170">
        <v>50</v>
      </c>
      <c r="F3" s="201"/>
      <c r="G3" s="15" t="s">
        <v>25</v>
      </c>
      <c r="H3" s="11">
        <v>0</v>
      </c>
      <c r="I3" s="181"/>
      <c r="J3" s="182" t="s">
        <v>140</v>
      </c>
      <c r="K3" s="183">
        <f>I3/($H$19-$I$18)</f>
        <v>0</v>
      </c>
      <c r="N3" s="166" t="s">
        <v>19</v>
      </c>
      <c r="O3" s="176">
        <v>20000</v>
      </c>
      <c r="P3" s="177">
        <f>H19</f>
        <v>-135.19999999999999</v>
      </c>
      <c r="Q3" s="178" t="s">
        <v>20</v>
      </c>
    </row>
    <row r="4" spans="1:18" x14ac:dyDescent="0.2">
      <c r="A4" s="168">
        <v>43290</v>
      </c>
      <c r="B4" s="222" t="s">
        <v>185</v>
      </c>
      <c r="C4" s="229" t="s">
        <v>26</v>
      </c>
      <c r="D4" s="170">
        <v>-6.99</v>
      </c>
      <c r="F4" s="201"/>
      <c r="G4" s="184"/>
      <c r="H4" s="181"/>
      <c r="I4" s="181">
        <v>-6.99</v>
      </c>
      <c r="J4" s="182" t="s">
        <v>26</v>
      </c>
      <c r="K4" s="183">
        <f t="shared" ref="K4:K17" si="0">I4/($H$19-$I$18)</f>
        <v>3.7742980561555076E-2</v>
      </c>
      <c r="N4" s="166" t="s">
        <v>51</v>
      </c>
      <c r="O4" s="176">
        <v>0</v>
      </c>
      <c r="P4" s="177">
        <f>Westpac!O24</f>
        <v>0</v>
      </c>
      <c r="Q4" s="185" t="s">
        <v>45</v>
      </c>
    </row>
    <row r="5" spans="1:18" x14ac:dyDescent="0.2">
      <c r="A5" s="168">
        <v>43290</v>
      </c>
      <c r="B5" s="221" t="s">
        <v>186</v>
      </c>
      <c r="C5" s="222" t="s">
        <v>28</v>
      </c>
      <c r="D5" s="170">
        <v>-11.9</v>
      </c>
      <c r="F5" s="179"/>
      <c r="G5" s="184"/>
      <c r="H5" s="181"/>
      <c r="I5" s="181">
        <v>-14.98</v>
      </c>
      <c r="J5" s="16" t="s">
        <v>68</v>
      </c>
      <c r="K5" s="183">
        <f t="shared" si="0"/>
        <v>8.0885529157667391E-2</v>
      </c>
      <c r="N5" s="166" t="s">
        <v>90</v>
      </c>
      <c r="O5" s="176">
        <v>0</v>
      </c>
      <c r="P5" s="177">
        <v>0</v>
      </c>
      <c r="Q5" s="178" t="s">
        <v>84</v>
      </c>
      <c r="R5" s="186"/>
    </row>
    <row r="6" spans="1:18" x14ac:dyDescent="0.2">
      <c r="A6" s="168">
        <v>43294</v>
      </c>
      <c r="B6" s="221" t="s">
        <v>182</v>
      </c>
      <c r="C6" s="169" t="s">
        <v>29</v>
      </c>
      <c r="D6" s="170">
        <v>-50</v>
      </c>
      <c r="F6" s="179"/>
      <c r="G6" s="184"/>
      <c r="H6" s="181"/>
      <c r="I6" s="181"/>
      <c r="J6" s="182" t="s">
        <v>27</v>
      </c>
      <c r="K6" s="183">
        <f t="shared" si="0"/>
        <v>0</v>
      </c>
      <c r="O6" s="176">
        <v>0</v>
      </c>
      <c r="P6" s="177">
        <v>0</v>
      </c>
      <c r="Q6" s="178"/>
      <c r="R6" s="186"/>
    </row>
    <row r="7" spans="1:18" x14ac:dyDescent="0.2">
      <c r="A7" s="168">
        <v>43298</v>
      </c>
      <c r="B7" s="221" t="s">
        <v>187</v>
      </c>
      <c r="C7" s="221" t="s">
        <v>28</v>
      </c>
      <c r="D7" s="170">
        <v>-4.95</v>
      </c>
      <c r="F7" s="179"/>
      <c r="G7" s="184"/>
      <c r="H7" s="181"/>
      <c r="I7" s="181">
        <v>-16.850000000000001</v>
      </c>
      <c r="J7" s="182" t="s">
        <v>28</v>
      </c>
      <c r="K7" s="183">
        <f t="shared" si="0"/>
        <v>9.0982721382289425E-2</v>
      </c>
      <c r="O7" s="176"/>
      <c r="P7" s="177">
        <v>0</v>
      </c>
      <c r="Q7" s="239" t="s">
        <v>200</v>
      </c>
      <c r="R7" s="186"/>
    </row>
    <row r="8" spans="1:18" x14ac:dyDescent="0.2">
      <c r="A8" s="189">
        <v>43304</v>
      </c>
      <c r="B8" s="221" t="s">
        <v>192</v>
      </c>
      <c r="C8" s="222" t="s">
        <v>191</v>
      </c>
      <c r="D8" s="170">
        <v>-29.9</v>
      </c>
      <c r="F8" s="179"/>
      <c r="G8" s="184"/>
      <c r="H8" s="181"/>
      <c r="I8" s="181">
        <v>-50</v>
      </c>
      <c r="J8" s="182" t="s">
        <v>29</v>
      </c>
      <c r="K8" s="183">
        <f t="shared" si="0"/>
        <v>0.26997840172786181</v>
      </c>
      <c r="O8" s="176"/>
      <c r="P8" s="187">
        <f>SUM(O2:P5)</f>
        <v>20007.829999999998</v>
      </c>
      <c r="Q8" s="188" t="s">
        <v>15</v>
      </c>
      <c r="R8" s="186"/>
    </row>
    <row r="9" spans="1:18" x14ac:dyDescent="0.2">
      <c r="A9" s="168">
        <v>43318</v>
      </c>
      <c r="B9" s="221" t="s">
        <v>194</v>
      </c>
      <c r="C9" s="222" t="s">
        <v>191</v>
      </c>
      <c r="D9" s="170">
        <v>-33.24</v>
      </c>
      <c r="F9" s="179"/>
      <c r="G9" s="184"/>
      <c r="H9" s="181"/>
      <c r="I9" s="181"/>
      <c r="J9" s="16" t="s">
        <v>30</v>
      </c>
      <c r="K9" s="183">
        <f t="shared" si="0"/>
        <v>0</v>
      </c>
      <c r="O9" s="176"/>
      <c r="P9" s="186"/>
      <c r="R9" s="186"/>
    </row>
    <row r="10" spans="1:18" x14ac:dyDescent="0.2">
      <c r="A10" s="168">
        <v>43480</v>
      </c>
      <c r="B10" s="221" t="s">
        <v>222</v>
      </c>
      <c r="C10" s="222" t="s">
        <v>36</v>
      </c>
      <c r="D10" s="170">
        <v>20000</v>
      </c>
      <c r="F10" s="179"/>
      <c r="G10" s="184"/>
      <c r="H10" s="181"/>
      <c r="I10" s="181">
        <v>-96.38</v>
      </c>
      <c r="J10" s="193" t="s">
        <v>31</v>
      </c>
      <c r="K10" s="183">
        <f t="shared" si="0"/>
        <v>0.52041036717062639</v>
      </c>
    </row>
    <row r="11" spans="1:18" x14ac:dyDescent="0.2">
      <c r="A11" s="189"/>
      <c r="B11" s="221"/>
      <c r="C11" s="222"/>
      <c r="F11" s="179"/>
      <c r="G11" s="184"/>
      <c r="H11" s="181"/>
      <c r="I11" s="181"/>
      <c r="J11" s="243" t="s">
        <v>221</v>
      </c>
      <c r="K11" s="183">
        <f t="shared" si="0"/>
        <v>0</v>
      </c>
    </row>
    <row r="12" spans="1:18" x14ac:dyDescent="0.2">
      <c r="B12" s="221"/>
      <c r="C12" s="222"/>
      <c r="F12" s="179"/>
      <c r="G12" s="184"/>
      <c r="H12" s="181"/>
      <c r="I12" s="181"/>
      <c r="J12" s="62" t="s">
        <v>195</v>
      </c>
      <c r="K12" s="183">
        <f t="shared" si="0"/>
        <v>0</v>
      </c>
    </row>
    <row r="13" spans="1:18" x14ac:dyDescent="0.2">
      <c r="B13" s="221"/>
      <c r="C13" s="222"/>
      <c r="F13" s="179"/>
      <c r="G13" s="184"/>
      <c r="H13" s="181"/>
      <c r="I13" s="181"/>
      <c r="K13" s="183">
        <f t="shared" si="0"/>
        <v>0</v>
      </c>
    </row>
    <row r="14" spans="1:18" x14ac:dyDescent="0.2">
      <c r="B14" s="221"/>
      <c r="C14" s="222"/>
      <c r="F14" s="179"/>
      <c r="G14" s="184"/>
      <c r="H14" s="181"/>
      <c r="I14" s="181"/>
      <c r="J14" s="184"/>
      <c r="K14" s="183">
        <f t="shared" si="0"/>
        <v>0</v>
      </c>
    </row>
    <row r="15" spans="1:18" ht="16" thickBot="1" x14ac:dyDescent="0.25">
      <c r="B15" s="221"/>
      <c r="C15" s="222"/>
      <c r="F15" s="179"/>
      <c r="G15" s="184"/>
      <c r="H15" s="181"/>
      <c r="I15" s="181"/>
      <c r="J15" s="193"/>
      <c r="K15" s="183">
        <f t="shared" si="0"/>
        <v>0</v>
      </c>
    </row>
    <row r="16" spans="1:18" x14ac:dyDescent="0.2">
      <c r="B16" s="221"/>
      <c r="F16" s="179"/>
      <c r="G16" s="184"/>
      <c r="H16" s="203"/>
      <c r="I16" s="181"/>
      <c r="J16" s="184"/>
      <c r="K16" s="183">
        <f t="shared" si="0"/>
        <v>0</v>
      </c>
      <c r="M16" s="198" t="s">
        <v>43</v>
      </c>
      <c r="N16" s="172"/>
      <c r="O16" s="173"/>
      <c r="P16" s="173"/>
      <c r="Q16" s="199" t="s">
        <v>17</v>
      </c>
      <c r="R16" s="200"/>
    </row>
    <row r="17" spans="1:18" x14ac:dyDescent="0.2">
      <c r="A17" s="189"/>
      <c r="B17" s="222"/>
      <c r="C17" s="222"/>
      <c r="F17" s="201"/>
      <c r="G17" s="202"/>
      <c r="H17" s="203"/>
      <c r="I17" s="181"/>
      <c r="J17" s="16" t="s">
        <v>33</v>
      </c>
      <c r="K17" s="183">
        <f t="shared" si="0"/>
        <v>0</v>
      </c>
      <c r="M17" s="201"/>
      <c r="N17" s="184"/>
      <c r="O17" s="181"/>
      <c r="P17" s="181"/>
      <c r="Q17" s="205"/>
      <c r="R17" s="204"/>
    </row>
    <row r="18" spans="1:18" x14ac:dyDescent="0.2">
      <c r="B18" s="221"/>
      <c r="C18" s="221"/>
      <c r="F18" s="201"/>
      <c r="G18" s="184"/>
      <c r="H18" s="203"/>
      <c r="I18" s="181">
        <v>50</v>
      </c>
      <c r="J18" s="235" t="s">
        <v>184</v>
      </c>
      <c r="K18" s="183"/>
      <c r="M18" s="201"/>
      <c r="N18" s="184"/>
      <c r="O18" s="181"/>
      <c r="P18" s="181"/>
      <c r="Q18" s="205"/>
      <c r="R18" s="204"/>
    </row>
    <row r="19" spans="1:18" ht="16" thickBot="1" x14ac:dyDescent="0.25">
      <c r="A19" s="189"/>
      <c r="B19" s="221"/>
      <c r="C19" s="222"/>
      <c r="F19" s="234"/>
      <c r="G19" s="195" t="s">
        <v>15</v>
      </c>
      <c r="H19" s="217">
        <f>SUM(I2:I19)</f>
        <v>-135.19999999999999</v>
      </c>
      <c r="I19" s="196"/>
      <c r="J19" s="195"/>
      <c r="K19" s="183">
        <f>SUM(K3:K18)</f>
        <v>1</v>
      </c>
      <c r="M19" s="201"/>
      <c r="N19" s="184"/>
      <c r="O19" s="181"/>
      <c r="P19" s="181"/>
      <c r="Q19" s="205"/>
      <c r="R19" s="204"/>
    </row>
    <row r="20" spans="1:18" x14ac:dyDescent="0.2">
      <c r="A20" s="189"/>
      <c r="B20" s="221"/>
      <c r="C20" s="222"/>
      <c r="F20" s="22" t="s">
        <v>44</v>
      </c>
      <c r="G20" s="7" t="s">
        <v>15</v>
      </c>
      <c r="H20" s="36"/>
      <c r="I20" s="36"/>
      <c r="J20" s="7" t="s">
        <v>17</v>
      </c>
      <c r="K20" s="8"/>
      <c r="M20" s="179"/>
      <c r="N20" s="184"/>
      <c r="O20" s="181"/>
      <c r="P20" s="181"/>
      <c r="Q20" s="205"/>
      <c r="R20" s="204"/>
    </row>
    <row r="21" spans="1:18" x14ac:dyDescent="0.2">
      <c r="A21" s="189"/>
      <c r="B21" s="221"/>
      <c r="C21" s="222"/>
      <c r="F21" s="201"/>
      <c r="G21" s="184"/>
      <c r="H21" s="181"/>
      <c r="I21" s="181"/>
      <c r="J21" s="184"/>
      <c r="K21" s="204"/>
      <c r="M21" s="179"/>
      <c r="N21" s="184"/>
      <c r="O21" s="181"/>
      <c r="P21" s="181"/>
      <c r="Q21" s="205"/>
      <c r="R21" s="204"/>
    </row>
    <row r="22" spans="1:18" x14ac:dyDescent="0.2">
      <c r="A22" s="189"/>
      <c r="B22" s="222"/>
      <c r="C22" s="222"/>
      <c r="F22" s="201"/>
      <c r="G22" s="184"/>
      <c r="H22" s="181"/>
      <c r="I22" s="181"/>
      <c r="J22" s="184"/>
      <c r="K22" s="204"/>
      <c r="M22" s="179"/>
      <c r="N22" s="184"/>
      <c r="O22" s="181"/>
      <c r="P22" s="181"/>
      <c r="Q22" s="205"/>
      <c r="R22" s="204"/>
    </row>
    <row r="23" spans="1:18" x14ac:dyDescent="0.2">
      <c r="A23" s="189"/>
      <c r="B23" s="221"/>
      <c r="C23" s="222"/>
      <c r="F23" s="201"/>
      <c r="G23" s="184"/>
      <c r="H23" s="181"/>
      <c r="I23" s="181"/>
      <c r="J23" s="184"/>
      <c r="K23" s="204"/>
      <c r="M23" s="179"/>
      <c r="N23" s="184"/>
      <c r="O23" s="181"/>
      <c r="P23" s="181"/>
      <c r="Q23" s="205"/>
      <c r="R23" s="204"/>
    </row>
    <row r="24" spans="1:18" ht="16" thickBot="1" x14ac:dyDescent="0.25">
      <c r="A24" s="189"/>
      <c r="B24" s="222"/>
      <c r="C24" s="222"/>
      <c r="F24" s="201"/>
      <c r="G24" s="184"/>
      <c r="H24" s="181"/>
      <c r="I24" s="181"/>
      <c r="J24" s="184"/>
      <c r="K24" s="204"/>
      <c r="M24" s="194"/>
      <c r="N24" s="195" t="s">
        <v>15</v>
      </c>
      <c r="O24" s="196">
        <f>SUM(O16:P23)</f>
        <v>0</v>
      </c>
      <c r="P24" s="196"/>
      <c r="Q24" s="206"/>
      <c r="R24" s="197"/>
    </row>
    <row r="25" spans="1:18" x14ac:dyDescent="0.2">
      <c r="A25" s="189"/>
      <c r="B25" s="221"/>
      <c r="C25" s="222"/>
      <c r="F25" s="179"/>
      <c r="G25" s="184"/>
      <c r="H25" s="181"/>
      <c r="I25" s="181"/>
      <c r="J25" s="184"/>
      <c r="K25" s="204"/>
      <c r="M25" s="180"/>
      <c r="N25" s="180"/>
      <c r="O25" s="207"/>
      <c r="P25" s="207"/>
      <c r="Q25" s="208"/>
      <c r="R25" s="209"/>
    </row>
    <row r="26" spans="1:18" x14ac:dyDescent="0.2">
      <c r="A26" s="189"/>
      <c r="B26" s="221"/>
      <c r="C26" s="221"/>
      <c r="F26" s="179"/>
      <c r="G26" s="184"/>
      <c r="H26" s="181"/>
      <c r="I26" s="181"/>
      <c r="J26" s="184"/>
      <c r="K26" s="204"/>
      <c r="M26" s="180"/>
      <c r="N26" s="210"/>
      <c r="O26" s="207"/>
      <c r="P26" s="207"/>
      <c r="Q26" s="208"/>
      <c r="R26" s="184"/>
    </row>
    <row r="27" spans="1:18" x14ac:dyDescent="0.2">
      <c r="A27" s="189"/>
      <c r="B27" s="221"/>
      <c r="C27" s="222"/>
      <c r="F27" s="179"/>
      <c r="G27" s="184"/>
      <c r="H27" s="181"/>
      <c r="I27" s="181"/>
      <c r="J27" s="184"/>
      <c r="K27" s="204"/>
      <c r="M27" s="184"/>
      <c r="N27" s="184"/>
      <c r="O27" s="191"/>
      <c r="P27" s="191"/>
      <c r="Q27" s="211"/>
      <c r="R27" s="184"/>
    </row>
    <row r="28" spans="1:18" x14ac:dyDescent="0.2">
      <c r="A28" s="189"/>
      <c r="B28" s="221"/>
      <c r="C28" s="222"/>
      <c r="F28" s="179"/>
      <c r="G28" s="184"/>
      <c r="H28" s="181"/>
      <c r="I28" s="181"/>
      <c r="J28" s="184"/>
      <c r="K28" s="204"/>
      <c r="M28" s="212"/>
      <c r="N28" s="184"/>
      <c r="O28" s="213"/>
      <c r="P28" s="184"/>
      <c r="Q28" s="211"/>
      <c r="R28" s="184"/>
    </row>
    <row r="29" spans="1:18" x14ac:dyDescent="0.2">
      <c r="A29" s="189"/>
      <c r="B29" s="222"/>
      <c r="C29" s="222"/>
      <c r="F29" s="201"/>
      <c r="G29" s="184"/>
      <c r="H29" s="181"/>
      <c r="I29" s="181"/>
      <c r="J29" s="184"/>
      <c r="K29" s="204"/>
      <c r="M29" s="184"/>
      <c r="N29" s="184"/>
      <c r="O29" s="213"/>
      <c r="P29" s="184"/>
      <c r="Q29" s="211"/>
      <c r="R29" s="184"/>
    </row>
    <row r="30" spans="1:18" x14ac:dyDescent="0.2">
      <c r="A30" s="189"/>
      <c r="B30" s="221"/>
      <c r="C30" s="222"/>
      <c r="F30" s="179"/>
      <c r="G30" s="184"/>
      <c r="H30" s="181"/>
      <c r="I30" s="181"/>
      <c r="J30" s="184"/>
      <c r="K30" s="204"/>
      <c r="M30" s="230"/>
      <c r="N30" s="184"/>
      <c r="O30" s="213"/>
      <c r="P30" s="184"/>
      <c r="Q30" s="211"/>
      <c r="R30" s="184"/>
    </row>
    <row r="31" spans="1:18" x14ac:dyDescent="0.2">
      <c r="A31" s="189"/>
      <c r="B31" s="221"/>
      <c r="C31" s="221"/>
      <c r="F31" s="179"/>
      <c r="G31" s="184"/>
      <c r="H31" s="181"/>
      <c r="I31" s="181"/>
      <c r="J31" s="184"/>
      <c r="K31" s="204"/>
      <c r="M31" s="214"/>
      <c r="N31" s="184"/>
      <c r="O31" s="213"/>
      <c r="P31" s="184"/>
      <c r="Q31" s="211"/>
      <c r="R31" s="184"/>
    </row>
    <row r="32" spans="1:18" x14ac:dyDescent="0.2">
      <c r="A32" s="189"/>
      <c r="B32" s="221"/>
      <c r="C32" s="222"/>
      <c r="F32" s="179"/>
      <c r="G32" s="184"/>
      <c r="H32" s="181"/>
      <c r="I32" s="181"/>
      <c r="J32" s="184"/>
      <c r="K32" s="204"/>
      <c r="M32" s="231"/>
      <c r="N32" s="184"/>
      <c r="O32" s="213"/>
      <c r="P32" s="184"/>
      <c r="Q32" s="211"/>
      <c r="R32" s="184"/>
    </row>
    <row r="33" spans="1:18" x14ac:dyDescent="0.2">
      <c r="A33" s="189"/>
      <c r="B33" s="221"/>
      <c r="C33" s="222"/>
      <c r="F33" s="179"/>
      <c r="G33" s="184"/>
      <c r="H33" s="181"/>
      <c r="I33" s="181"/>
      <c r="J33" s="184"/>
      <c r="K33" s="204"/>
      <c r="M33" s="231"/>
      <c r="N33" s="184"/>
      <c r="O33" s="213"/>
      <c r="P33" s="184"/>
      <c r="Q33" s="211"/>
      <c r="R33" s="184"/>
    </row>
    <row r="34" spans="1:18" x14ac:dyDescent="0.2">
      <c r="A34" s="189"/>
      <c r="B34" s="221"/>
      <c r="C34" s="222"/>
      <c r="F34" s="179"/>
      <c r="G34" s="184"/>
      <c r="H34" s="181"/>
      <c r="I34" s="181"/>
      <c r="J34" s="184"/>
      <c r="K34" s="204"/>
      <c r="M34" s="184"/>
      <c r="N34" s="184"/>
      <c r="O34" s="213"/>
      <c r="P34" s="184"/>
      <c r="Q34" s="211"/>
      <c r="R34" s="184"/>
    </row>
    <row r="35" spans="1:18" x14ac:dyDescent="0.2">
      <c r="A35" s="189"/>
      <c r="B35" s="221"/>
      <c r="C35" s="222"/>
      <c r="F35" s="179"/>
      <c r="G35" s="184"/>
      <c r="H35" s="181"/>
      <c r="I35" s="181"/>
      <c r="J35" s="184"/>
      <c r="K35" s="204"/>
      <c r="M35" s="184"/>
      <c r="N35" s="184"/>
      <c r="O35" s="213"/>
      <c r="P35" s="184"/>
      <c r="Q35" s="211"/>
      <c r="R35" s="184"/>
    </row>
    <row r="36" spans="1:18" x14ac:dyDescent="0.2">
      <c r="A36" s="189"/>
      <c r="B36" s="221"/>
      <c r="C36" s="222"/>
      <c r="F36" s="201"/>
      <c r="G36" s="184"/>
      <c r="H36" s="181"/>
      <c r="I36" s="181"/>
      <c r="J36" s="184"/>
      <c r="K36" s="204"/>
      <c r="M36" s="184"/>
      <c r="N36" s="184"/>
      <c r="O36" s="213"/>
      <c r="P36" s="184"/>
      <c r="Q36" s="211"/>
      <c r="R36" s="184"/>
    </row>
    <row r="37" spans="1:18" x14ac:dyDescent="0.2">
      <c r="B37" s="222"/>
      <c r="C37" s="222"/>
      <c r="F37" s="201"/>
      <c r="G37" s="184"/>
      <c r="H37" s="181"/>
      <c r="I37" s="181"/>
      <c r="J37" s="184"/>
      <c r="K37" s="204"/>
      <c r="M37" s="184"/>
      <c r="N37" s="184"/>
      <c r="O37" s="213"/>
      <c r="P37" s="184"/>
      <c r="Q37" s="211"/>
      <c r="R37" s="184"/>
    </row>
    <row r="38" spans="1:18" x14ac:dyDescent="0.2">
      <c r="A38" s="189"/>
      <c r="B38" s="221"/>
      <c r="C38" s="222"/>
      <c r="F38" s="201"/>
      <c r="G38" s="184"/>
      <c r="H38" s="181"/>
      <c r="I38" s="181"/>
      <c r="J38" s="184"/>
      <c r="K38" s="204"/>
      <c r="M38" s="184"/>
      <c r="R38" s="184"/>
    </row>
    <row r="39" spans="1:18" x14ac:dyDescent="0.2">
      <c r="A39" s="189"/>
      <c r="B39" s="221"/>
      <c r="C39" s="222"/>
      <c r="F39" s="201"/>
      <c r="G39" s="184"/>
      <c r="H39" s="181"/>
      <c r="I39" s="181"/>
      <c r="J39" s="184"/>
      <c r="K39" s="204"/>
      <c r="M39" s="184"/>
      <c r="R39" s="184"/>
    </row>
    <row r="40" spans="1:18" x14ac:dyDescent="0.2">
      <c r="A40" s="189"/>
      <c r="B40" s="221"/>
      <c r="C40" s="222"/>
      <c r="F40" s="201"/>
      <c r="G40" s="184"/>
      <c r="H40" s="181"/>
      <c r="I40" s="181"/>
      <c r="J40" s="184"/>
      <c r="K40" s="204"/>
      <c r="M40" s="184"/>
      <c r="R40" s="184"/>
    </row>
    <row r="41" spans="1:18" x14ac:dyDescent="0.2">
      <c r="A41" s="189"/>
      <c r="B41" s="221"/>
      <c r="C41" s="222"/>
      <c r="F41" s="201"/>
      <c r="G41" s="184"/>
      <c r="H41" s="181"/>
      <c r="I41" s="181"/>
      <c r="J41" s="184"/>
      <c r="K41" s="204"/>
      <c r="M41" s="184"/>
      <c r="R41" s="184"/>
    </row>
    <row r="42" spans="1:18" x14ac:dyDescent="0.2">
      <c r="A42" s="189"/>
      <c r="B42" s="221"/>
      <c r="C42" s="222"/>
      <c r="F42" s="201"/>
      <c r="G42" s="184"/>
      <c r="H42" s="181"/>
      <c r="I42" s="181"/>
      <c r="J42" s="184"/>
      <c r="K42" s="204"/>
      <c r="M42" s="184"/>
      <c r="R42" s="184"/>
    </row>
    <row r="43" spans="1:18" x14ac:dyDescent="0.2">
      <c r="A43" s="33"/>
      <c r="B43" s="221"/>
      <c r="C43" s="222"/>
      <c r="F43" s="201"/>
      <c r="G43" s="184"/>
      <c r="H43" s="181"/>
      <c r="I43" s="181"/>
      <c r="J43" s="184"/>
      <c r="K43" s="204"/>
      <c r="M43" s="184"/>
      <c r="N43" s="184"/>
      <c r="O43" s="213"/>
      <c r="P43" s="184"/>
      <c r="Q43" s="211"/>
      <c r="R43" s="184"/>
    </row>
    <row r="44" spans="1:18" x14ac:dyDescent="0.2">
      <c r="A44" s="189"/>
      <c r="B44" s="221"/>
      <c r="C44" s="222"/>
      <c r="F44" s="201"/>
      <c r="G44" s="184"/>
      <c r="H44" s="181"/>
      <c r="I44" s="181"/>
      <c r="J44" s="184"/>
      <c r="K44" s="204"/>
      <c r="M44" s="184"/>
      <c r="N44" s="184"/>
      <c r="O44" s="213"/>
      <c r="P44" s="184"/>
      <c r="Q44" s="211"/>
      <c r="R44" s="184"/>
    </row>
    <row r="45" spans="1:18" x14ac:dyDescent="0.2">
      <c r="A45" s="189"/>
      <c r="B45" s="221"/>
      <c r="C45" s="222"/>
      <c r="F45" s="201"/>
      <c r="G45" s="184"/>
      <c r="H45" s="181"/>
      <c r="I45" s="181"/>
      <c r="J45" s="184"/>
      <c r="K45" s="215"/>
      <c r="M45" s="184"/>
      <c r="N45" s="184"/>
      <c r="O45" s="213"/>
      <c r="P45" s="184"/>
      <c r="Q45" s="211"/>
      <c r="R45" s="184"/>
    </row>
    <row r="46" spans="1:18" x14ac:dyDescent="0.2">
      <c r="A46" s="189"/>
      <c r="B46" s="221"/>
      <c r="C46" s="222"/>
      <c r="F46" s="201"/>
      <c r="G46" s="184"/>
      <c r="H46" s="181"/>
      <c r="I46" s="181"/>
      <c r="J46" s="184"/>
      <c r="K46" s="215"/>
      <c r="M46" s="184"/>
      <c r="N46" s="184"/>
      <c r="O46" s="213"/>
      <c r="P46" s="184"/>
      <c r="Q46" s="211"/>
      <c r="R46" s="184"/>
    </row>
    <row r="47" spans="1:18" x14ac:dyDescent="0.2">
      <c r="A47" s="189"/>
      <c r="B47" s="221"/>
      <c r="C47" s="222"/>
      <c r="F47" s="201"/>
      <c r="G47" s="184"/>
      <c r="H47" s="181"/>
      <c r="I47" s="181"/>
      <c r="J47" s="184"/>
      <c r="K47" s="215"/>
      <c r="M47" s="184"/>
      <c r="N47" s="184"/>
      <c r="O47" s="213"/>
      <c r="P47" s="184"/>
      <c r="Q47" s="211"/>
    </row>
    <row r="48" spans="1:18" x14ac:dyDescent="0.2">
      <c r="A48" s="189"/>
      <c r="B48" s="221"/>
      <c r="C48" s="222"/>
      <c r="F48" s="201"/>
      <c r="G48" s="184"/>
      <c r="H48" s="181"/>
      <c r="I48" s="181"/>
      <c r="J48" s="184"/>
      <c r="K48" s="215"/>
      <c r="M48" s="184"/>
      <c r="N48" s="184"/>
      <c r="O48" s="213"/>
      <c r="P48" s="184"/>
      <c r="Q48" s="211"/>
    </row>
    <row r="49" spans="1:11" x14ac:dyDescent="0.2">
      <c r="B49" s="221"/>
      <c r="C49" s="222"/>
      <c r="F49" s="201"/>
      <c r="G49" s="184"/>
      <c r="H49" s="181"/>
      <c r="I49" s="181"/>
      <c r="J49" s="184"/>
      <c r="K49" s="215"/>
    </row>
    <row r="50" spans="1:11" x14ac:dyDescent="0.2">
      <c r="A50" s="189"/>
      <c r="B50" s="221"/>
      <c r="C50" s="222"/>
      <c r="F50" s="179"/>
      <c r="G50" s="184"/>
      <c r="H50" s="181"/>
      <c r="I50" s="181"/>
      <c r="J50" s="184"/>
      <c r="K50" s="215"/>
    </row>
    <row r="51" spans="1:11" x14ac:dyDescent="0.2">
      <c r="B51" s="221"/>
      <c r="C51" s="222"/>
      <c r="F51" s="179"/>
      <c r="G51" s="184"/>
      <c r="H51" s="181"/>
      <c r="I51" s="181"/>
      <c r="J51" s="184"/>
      <c r="K51" s="215"/>
    </row>
    <row r="52" spans="1:11" x14ac:dyDescent="0.2">
      <c r="B52" s="221"/>
      <c r="C52" s="222"/>
      <c r="F52" s="179"/>
      <c r="G52" s="184"/>
      <c r="H52" s="181"/>
      <c r="I52" s="181"/>
      <c r="J52" s="184"/>
      <c r="K52" s="215"/>
    </row>
    <row r="53" spans="1:11" ht="16" thickBot="1" x14ac:dyDescent="0.25">
      <c r="A53" s="168">
        <v>43318</v>
      </c>
      <c r="B53" s="221" t="s">
        <v>194</v>
      </c>
      <c r="C53" s="222" t="s">
        <v>191</v>
      </c>
      <c r="D53" s="170">
        <v>-33.24</v>
      </c>
      <c r="E53" s="232"/>
      <c r="F53" s="194"/>
      <c r="G53" s="216"/>
      <c r="H53" s="217"/>
      <c r="I53" s="196"/>
      <c r="J53" s="195"/>
      <c r="K53" s="218"/>
    </row>
    <row r="54" spans="1:11" x14ac:dyDescent="0.2">
      <c r="A54" s="189"/>
      <c r="B54" s="221"/>
      <c r="C54" s="222"/>
    </row>
    <row r="55" spans="1:11" x14ac:dyDescent="0.2">
      <c r="B55" s="221"/>
      <c r="C55" s="222"/>
    </row>
    <row r="56" spans="1:11" x14ac:dyDescent="0.2">
      <c r="B56" s="221"/>
      <c r="C56" s="222"/>
    </row>
    <row r="57" spans="1:11" x14ac:dyDescent="0.2">
      <c r="A57" s="189"/>
      <c r="B57" s="221"/>
      <c r="C57" s="222"/>
    </row>
    <row r="58" spans="1:11" x14ac:dyDescent="0.2">
      <c r="A58" s="189"/>
      <c r="B58" s="221"/>
      <c r="C58" s="222"/>
    </row>
    <row r="59" spans="1:11" x14ac:dyDescent="0.2">
      <c r="A59" s="189"/>
      <c r="B59" s="221"/>
      <c r="C59" s="222"/>
    </row>
    <row r="60" spans="1:11" x14ac:dyDescent="0.2">
      <c r="A60" s="189"/>
      <c r="B60" s="221"/>
      <c r="C60" s="222"/>
    </row>
    <row r="61" spans="1:11" x14ac:dyDescent="0.2">
      <c r="A61" s="33"/>
      <c r="B61" s="221"/>
      <c r="C61" s="222"/>
    </row>
    <row r="62" spans="1:11" x14ac:dyDescent="0.2">
      <c r="A62" s="33"/>
      <c r="B62" s="221"/>
      <c r="C62" s="222"/>
      <c r="G62" s="184"/>
    </row>
    <row r="63" spans="1:11" x14ac:dyDescent="0.2">
      <c r="A63" s="189"/>
      <c r="B63" s="221"/>
      <c r="C63" s="222"/>
      <c r="G63" s="219"/>
    </row>
    <row r="64" spans="1:11" x14ac:dyDescent="0.2">
      <c r="A64" s="189"/>
      <c r="B64" s="221"/>
      <c r="C64" s="222"/>
      <c r="G64" s="220"/>
    </row>
    <row r="65" spans="1:7" x14ac:dyDescent="0.2">
      <c r="A65" s="189"/>
      <c r="B65" s="221"/>
      <c r="C65" s="222"/>
      <c r="G65" s="220"/>
    </row>
    <row r="66" spans="1:7" x14ac:dyDescent="0.2">
      <c r="A66" s="189"/>
      <c r="B66" s="221"/>
      <c r="C66" s="222"/>
      <c r="G66" s="220"/>
    </row>
    <row r="67" spans="1:7" x14ac:dyDescent="0.2">
      <c r="A67" s="189"/>
      <c r="B67" s="222"/>
      <c r="C67" s="222"/>
      <c r="G67" s="220"/>
    </row>
    <row r="68" spans="1:7" x14ac:dyDescent="0.2">
      <c r="A68" s="189"/>
      <c r="B68" s="221"/>
      <c r="C68" s="222"/>
      <c r="G68" s="220"/>
    </row>
    <row r="69" spans="1:7" x14ac:dyDescent="0.2">
      <c r="A69" s="189"/>
      <c r="B69" s="221"/>
      <c r="C69" s="222"/>
      <c r="G69" s="220"/>
    </row>
    <row r="70" spans="1:7" x14ac:dyDescent="0.2">
      <c r="A70" s="189"/>
      <c r="B70" s="221"/>
      <c r="C70" s="222"/>
      <c r="G70" s="220"/>
    </row>
    <row r="71" spans="1:7" x14ac:dyDescent="0.2">
      <c r="A71" s="189"/>
      <c r="B71" s="221"/>
      <c r="C71" s="222"/>
    </row>
    <row r="72" spans="1:7" x14ac:dyDescent="0.2">
      <c r="A72" s="189"/>
      <c r="B72" s="221"/>
      <c r="C72" s="222"/>
    </row>
    <row r="73" spans="1:7" x14ac:dyDescent="0.2">
      <c r="B73" s="221"/>
      <c r="C73" s="222"/>
    </row>
    <row r="74" spans="1:7" x14ac:dyDescent="0.2">
      <c r="A74" s="189"/>
      <c r="B74" s="221"/>
      <c r="C74" s="221"/>
    </row>
    <row r="75" spans="1:7" x14ac:dyDescent="0.2">
      <c r="A75" s="189"/>
      <c r="B75" s="221"/>
      <c r="C75" s="222"/>
    </row>
    <row r="76" spans="1:7" x14ac:dyDescent="0.2">
      <c r="B76" s="222"/>
      <c r="C76" s="222"/>
    </row>
    <row r="77" spans="1:7" x14ac:dyDescent="0.2">
      <c r="B77" s="221"/>
      <c r="C77" s="222"/>
    </row>
    <row r="78" spans="1:7" x14ac:dyDescent="0.2">
      <c r="B78" s="221"/>
      <c r="C78" s="222"/>
    </row>
    <row r="79" spans="1:7" x14ac:dyDescent="0.2">
      <c r="B79" s="221"/>
      <c r="C79" s="222"/>
    </row>
    <row r="80" spans="1:7" x14ac:dyDescent="0.2">
      <c r="B80" s="221"/>
      <c r="C80" s="222"/>
    </row>
    <row r="81" spans="2:5" x14ac:dyDescent="0.2">
      <c r="B81" s="222"/>
      <c r="C81" s="222"/>
      <c r="E81" s="155"/>
    </row>
    <row r="82" spans="2:5" x14ac:dyDescent="0.2">
      <c r="B82" s="221"/>
      <c r="C82" s="222"/>
    </row>
    <row r="83" spans="2:5" x14ac:dyDescent="0.2">
      <c r="B83" s="221"/>
      <c r="C83" s="222"/>
    </row>
    <row r="84" spans="2:5" x14ac:dyDescent="0.2">
      <c r="B84" s="221"/>
      <c r="C84" s="222"/>
    </row>
    <row r="85" spans="2:5" x14ac:dyDescent="0.2">
      <c r="B85" s="222"/>
      <c r="C85" s="222"/>
    </row>
    <row r="86" spans="2:5" x14ac:dyDescent="0.2">
      <c r="B86" s="221"/>
      <c r="C86" s="222"/>
    </row>
    <row r="87" spans="2:5" x14ac:dyDescent="0.2">
      <c r="B87" s="221"/>
      <c r="C87" s="222"/>
    </row>
    <row r="88" spans="2:5" x14ac:dyDescent="0.2">
      <c r="B88" s="221"/>
      <c r="C88" s="222"/>
    </row>
    <row r="89" spans="2:5" x14ac:dyDescent="0.2">
      <c r="B89" s="221"/>
      <c r="C89" s="222"/>
    </row>
    <row r="90" spans="2:5" x14ac:dyDescent="0.2">
      <c r="B90" s="222"/>
      <c r="C90" s="222"/>
    </row>
    <row r="91" spans="2:5" x14ac:dyDescent="0.2">
      <c r="B91" s="221"/>
      <c r="C91" s="222"/>
    </row>
    <row r="92" spans="2:5" x14ac:dyDescent="0.2">
      <c r="B92" s="222"/>
      <c r="C92" s="221"/>
    </row>
    <row r="93" spans="2:5" x14ac:dyDescent="0.2">
      <c r="B93" s="221"/>
      <c r="C93" s="222"/>
    </row>
    <row r="94" spans="2:5" x14ac:dyDescent="0.2">
      <c r="B94" s="221"/>
      <c r="C94" s="222"/>
    </row>
    <row r="95" spans="2:5" x14ac:dyDescent="0.2">
      <c r="B95" s="222"/>
      <c r="C95" s="221"/>
    </row>
    <row r="96" spans="2:5" x14ac:dyDescent="0.2">
      <c r="B96" s="222"/>
      <c r="C96" s="221"/>
    </row>
    <row r="97" spans="2:18" x14ac:dyDescent="0.2">
      <c r="B97" s="221"/>
      <c r="C97" s="222"/>
    </row>
    <row r="98" spans="2:18" x14ac:dyDescent="0.2">
      <c r="B98" s="221"/>
      <c r="C98" s="222"/>
    </row>
    <row r="99" spans="2:18" x14ac:dyDescent="0.2">
      <c r="B99" s="222"/>
      <c r="C99" s="221"/>
    </row>
    <row r="100" spans="2:18" x14ac:dyDescent="0.2">
      <c r="B100" s="222"/>
      <c r="C100" s="221"/>
      <c r="E100" s="155"/>
    </row>
    <row r="101" spans="2:18" x14ac:dyDescent="0.2">
      <c r="B101" s="221"/>
      <c r="C101" s="222"/>
    </row>
    <row r="102" spans="2:18" x14ac:dyDescent="0.2">
      <c r="B102" s="222"/>
      <c r="C102" s="221"/>
    </row>
    <row r="103" spans="2:18" x14ac:dyDescent="0.2">
      <c r="B103" s="222"/>
      <c r="C103" s="221"/>
    </row>
    <row r="104" spans="2:18" x14ac:dyDescent="0.2">
      <c r="B104" s="221"/>
      <c r="C104" s="221"/>
    </row>
    <row r="105" spans="2:18" x14ac:dyDescent="0.2">
      <c r="B105" s="221"/>
      <c r="C105" s="221"/>
    </row>
    <row r="106" spans="2:18" x14ac:dyDescent="0.2">
      <c r="B106" s="222"/>
      <c r="C106" s="221"/>
    </row>
    <row r="107" spans="2:18" x14ac:dyDescent="0.2">
      <c r="B107" s="222"/>
      <c r="C107" s="221"/>
    </row>
    <row r="108" spans="2:18" x14ac:dyDescent="0.2">
      <c r="B108" s="221"/>
      <c r="C108" s="222"/>
    </row>
    <row r="109" spans="2:18" x14ac:dyDescent="0.2">
      <c r="B109" s="221"/>
      <c r="C109" s="221"/>
    </row>
    <row r="110" spans="2:18" x14ac:dyDescent="0.2">
      <c r="B110" s="221"/>
      <c r="C110" s="222"/>
    </row>
    <row r="111" spans="2:18" x14ac:dyDescent="0.2">
      <c r="B111" s="221"/>
      <c r="C111" s="222"/>
    </row>
    <row r="112" spans="2:18" x14ac:dyDescent="0.2">
      <c r="B112" s="221"/>
      <c r="C112" s="221"/>
      <c r="R112" s="224"/>
    </row>
    <row r="113" spans="2:18" x14ac:dyDescent="0.2">
      <c r="B113" s="221"/>
      <c r="C113" s="221"/>
      <c r="R113" s="224"/>
    </row>
    <row r="114" spans="2:18" x14ac:dyDescent="0.2">
      <c r="B114" s="221"/>
      <c r="C114" s="221"/>
      <c r="R114" s="224"/>
    </row>
    <row r="115" spans="2:18" x14ac:dyDescent="0.2">
      <c r="B115" s="221"/>
      <c r="C115" s="221"/>
      <c r="R115" s="224"/>
    </row>
    <row r="116" spans="2:18" x14ac:dyDescent="0.2">
      <c r="B116" s="221"/>
      <c r="C116" s="221"/>
    </row>
    <row r="117" spans="2:18" x14ac:dyDescent="0.2">
      <c r="B117" s="221"/>
      <c r="C117" s="221"/>
    </row>
    <row r="118" spans="2:18" x14ac:dyDescent="0.2">
      <c r="B118" s="221"/>
      <c r="C118" s="222"/>
    </row>
    <row r="119" spans="2:18" x14ac:dyDescent="0.2">
      <c r="B119" s="222"/>
      <c r="C119" s="221"/>
    </row>
    <row r="120" spans="2:18" x14ac:dyDescent="0.2">
      <c r="B120" s="221"/>
      <c r="C120" s="221"/>
    </row>
    <row r="121" spans="2:18" x14ac:dyDescent="0.2">
      <c r="B121" s="221"/>
      <c r="C121" s="222"/>
    </row>
    <row r="122" spans="2:18" x14ac:dyDescent="0.2">
      <c r="B122" s="221"/>
      <c r="C122" s="221"/>
    </row>
    <row r="123" spans="2:18" x14ac:dyDescent="0.2">
      <c r="B123" s="221"/>
      <c r="C123" s="221"/>
    </row>
    <row r="124" spans="2:18" x14ac:dyDescent="0.2">
      <c r="B124" s="221"/>
      <c r="C124" s="221"/>
    </row>
    <row r="125" spans="2:18" x14ac:dyDescent="0.2">
      <c r="B125" s="221"/>
      <c r="C125" s="221"/>
    </row>
    <row r="126" spans="2:18" x14ac:dyDescent="0.2">
      <c r="B126" s="221"/>
      <c r="C126" s="222"/>
    </row>
    <row r="127" spans="2:18" x14ac:dyDescent="0.2">
      <c r="B127" s="221"/>
      <c r="C127" s="222"/>
    </row>
    <row r="128" spans="2:18" x14ac:dyDescent="0.2">
      <c r="B128" s="221"/>
      <c r="C128" s="222"/>
    </row>
    <row r="129" spans="2:3" x14ac:dyDescent="0.2">
      <c r="B129" s="221"/>
      <c r="C129" s="221"/>
    </row>
    <row r="130" spans="2:3" x14ac:dyDescent="0.2">
      <c r="B130" s="221"/>
      <c r="C130" s="221"/>
    </row>
    <row r="131" spans="2:3" x14ac:dyDescent="0.2">
      <c r="B131" s="221"/>
      <c r="C131" s="222"/>
    </row>
    <row r="132" spans="2:3" x14ac:dyDescent="0.2">
      <c r="B132" s="221"/>
      <c r="C132" s="221"/>
    </row>
    <row r="133" spans="2:3" x14ac:dyDescent="0.2">
      <c r="B133" s="221"/>
      <c r="C133" s="222"/>
    </row>
    <row r="134" spans="2:3" x14ac:dyDescent="0.2">
      <c r="B134" s="222"/>
      <c r="C134" s="221"/>
    </row>
    <row r="135" spans="2:3" x14ac:dyDescent="0.2">
      <c r="B135" s="221"/>
      <c r="C135" s="221"/>
    </row>
    <row r="136" spans="2:3" x14ac:dyDescent="0.2">
      <c r="B136" s="221"/>
      <c r="C136" s="222"/>
    </row>
    <row r="137" spans="2:3" x14ac:dyDescent="0.2">
      <c r="B137" s="221"/>
      <c r="C137" s="222"/>
    </row>
    <row r="138" spans="2:3" x14ac:dyDescent="0.2">
      <c r="B138" s="221"/>
      <c r="C138" s="222"/>
    </row>
    <row r="139" spans="2:3" x14ac:dyDescent="0.2">
      <c r="B139" s="221"/>
      <c r="C139" s="222"/>
    </row>
    <row r="140" spans="2:3" x14ac:dyDescent="0.2">
      <c r="B140" s="221"/>
      <c r="C140" s="222"/>
    </row>
    <row r="141" spans="2:3" x14ac:dyDescent="0.2">
      <c r="B141" s="221"/>
      <c r="C141" s="221"/>
    </row>
    <row r="142" spans="2:3" x14ac:dyDescent="0.2">
      <c r="B142" s="221"/>
      <c r="C142" s="221"/>
    </row>
    <row r="143" spans="2:3" x14ac:dyDescent="0.2">
      <c r="B143" s="221"/>
      <c r="C143" s="221"/>
    </row>
    <row r="144" spans="2:3" x14ac:dyDescent="0.2">
      <c r="B144" s="221"/>
      <c r="C144" s="221"/>
    </row>
    <row r="145" spans="2:3" x14ac:dyDescent="0.2">
      <c r="B145" s="221"/>
      <c r="C145" s="222"/>
    </row>
    <row r="146" spans="2:3" x14ac:dyDescent="0.2">
      <c r="B146" s="221"/>
      <c r="C146" s="222"/>
    </row>
    <row r="147" spans="2:3" x14ac:dyDescent="0.2">
      <c r="B147" s="221"/>
      <c r="C147" s="222"/>
    </row>
    <row r="148" spans="2:3" x14ac:dyDescent="0.2">
      <c r="B148" s="221"/>
      <c r="C148" s="221"/>
    </row>
    <row r="149" spans="2:3" x14ac:dyDescent="0.2">
      <c r="B149" s="221"/>
      <c r="C149" s="221"/>
    </row>
    <row r="150" spans="2:3" x14ac:dyDescent="0.2">
      <c r="B150" s="221"/>
      <c r="C150" s="222"/>
    </row>
    <row r="151" spans="2:3" x14ac:dyDescent="0.2">
      <c r="B151" s="221"/>
      <c r="C151" s="221"/>
    </row>
    <row r="152" spans="2:3" x14ac:dyDescent="0.2">
      <c r="B152" s="221"/>
      <c r="C152" s="221"/>
    </row>
    <row r="153" spans="2:3" x14ac:dyDescent="0.2">
      <c r="B153" s="221"/>
      <c r="C153" s="221"/>
    </row>
    <row r="154" spans="2:3" x14ac:dyDescent="0.2">
      <c r="B154" s="221"/>
      <c r="C154" s="222"/>
    </row>
    <row r="155" spans="2:3" x14ac:dyDescent="0.2">
      <c r="B155" s="221"/>
      <c r="C155" s="222"/>
    </row>
    <row r="156" spans="2:3" x14ac:dyDescent="0.2">
      <c r="B156" s="221"/>
      <c r="C156" s="222"/>
    </row>
    <row r="157" spans="2:3" x14ac:dyDescent="0.2">
      <c r="B157" s="221"/>
      <c r="C157" s="221"/>
    </row>
    <row r="158" spans="2:3" x14ac:dyDescent="0.2">
      <c r="B158" s="221"/>
      <c r="C158" s="221"/>
    </row>
    <row r="159" spans="2:3" x14ac:dyDescent="0.2">
      <c r="B159" s="221"/>
      <c r="C159" s="221"/>
    </row>
    <row r="160" spans="2:3" x14ac:dyDescent="0.2">
      <c r="B160" s="221"/>
      <c r="C160" s="222"/>
    </row>
    <row r="161" spans="2:3" x14ac:dyDescent="0.2">
      <c r="B161" s="221"/>
      <c r="C161" s="221"/>
    </row>
    <row r="162" spans="2:3" x14ac:dyDescent="0.2">
      <c r="B162" s="221"/>
      <c r="C162" s="221"/>
    </row>
    <row r="163" spans="2:3" x14ac:dyDescent="0.2">
      <c r="B163" s="221"/>
      <c r="C163" s="221"/>
    </row>
    <row r="164" spans="2:3" x14ac:dyDescent="0.2">
      <c r="B164" s="221"/>
      <c r="C164" s="221"/>
    </row>
    <row r="165" spans="2:3" x14ac:dyDescent="0.2">
      <c r="B165" s="221"/>
      <c r="C165" s="221"/>
    </row>
    <row r="166" spans="2:3" x14ac:dyDescent="0.2">
      <c r="B166" s="221"/>
      <c r="C166" s="221"/>
    </row>
    <row r="167" spans="2:3" x14ac:dyDescent="0.2">
      <c r="B167" s="221"/>
      <c r="C167" s="222"/>
    </row>
    <row r="168" spans="2:3" x14ac:dyDescent="0.2">
      <c r="B168" s="221"/>
      <c r="C168" s="221"/>
    </row>
    <row r="169" spans="2:3" x14ac:dyDescent="0.2">
      <c r="B169" s="221"/>
      <c r="C169" s="221"/>
    </row>
    <row r="170" spans="2:3" x14ac:dyDescent="0.2">
      <c r="B170" s="221"/>
      <c r="C170" s="222"/>
    </row>
    <row r="171" spans="2:3" x14ac:dyDescent="0.2">
      <c r="B171" s="264"/>
      <c r="C171" s="221"/>
    </row>
    <row r="172" spans="2:3" x14ac:dyDescent="0.2">
      <c r="B172" s="221"/>
      <c r="C172" s="221"/>
    </row>
    <row r="173" spans="2:3" x14ac:dyDescent="0.2">
      <c r="B173" s="221"/>
      <c r="C173" s="222"/>
    </row>
    <row r="174" spans="2:3" x14ac:dyDescent="0.2">
      <c r="B174" s="221"/>
      <c r="C174" s="222"/>
    </row>
    <row r="175" spans="2:3" x14ac:dyDescent="0.2">
      <c r="B175" s="221"/>
      <c r="C175" s="222"/>
    </row>
    <row r="176" spans="2:3" x14ac:dyDescent="0.2">
      <c r="B176" s="221"/>
      <c r="C176" s="222"/>
    </row>
    <row r="177" spans="1:6" x14ac:dyDescent="0.2">
      <c r="B177" s="221"/>
      <c r="C177" s="221"/>
    </row>
    <row r="178" spans="1:6" x14ac:dyDescent="0.2">
      <c r="B178" s="221"/>
      <c r="C178" s="221"/>
    </row>
    <row r="179" spans="1:6" x14ac:dyDescent="0.2">
      <c r="B179" s="221"/>
      <c r="C179" s="222"/>
    </row>
    <row r="180" spans="1:6" x14ac:dyDescent="0.2">
      <c r="B180" s="221"/>
      <c r="C180" s="221"/>
    </row>
    <row r="181" spans="1:6" x14ac:dyDescent="0.2">
      <c r="B181" s="221"/>
      <c r="C181" s="222"/>
      <c r="F181" s="155"/>
    </row>
    <row r="182" spans="1:6" x14ac:dyDescent="0.2">
      <c r="B182" s="222"/>
      <c r="C182" s="222"/>
    </row>
    <row r="183" spans="1:6" x14ac:dyDescent="0.2">
      <c r="B183" s="221"/>
      <c r="C183" s="222"/>
    </row>
    <row r="184" spans="1:6" x14ac:dyDescent="0.2">
      <c r="B184" s="221"/>
      <c r="C184" s="222"/>
    </row>
    <row r="185" spans="1:6" x14ac:dyDescent="0.2">
      <c r="B185" s="221"/>
      <c r="C185" s="221"/>
      <c r="E185" s="155"/>
    </row>
    <row r="186" spans="1:6" x14ac:dyDescent="0.2">
      <c r="B186" s="221"/>
      <c r="C186" s="221"/>
      <c r="E186" s="186"/>
    </row>
    <row r="187" spans="1:6" x14ac:dyDescent="0.2">
      <c r="A187" s="33"/>
      <c r="B187" s="221"/>
      <c r="C187" s="222"/>
      <c r="D187" s="30"/>
    </row>
    <row r="188" spans="1:6" x14ac:dyDescent="0.2">
      <c r="A188" s="33"/>
      <c r="B188" s="221"/>
      <c r="C188" s="29"/>
      <c r="D188" s="30"/>
    </row>
    <row r="189" spans="1:6" x14ac:dyDescent="0.2">
      <c r="B189" s="221"/>
      <c r="C189" s="221"/>
    </row>
    <row r="190" spans="1:6" x14ac:dyDescent="0.2">
      <c r="B190" s="221"/>
      <c r="C190" s="221"/>
    </row>
    <row r="191" spans="1:6" x14ac:dyDescent="0.2">
      <c r="B191" s="221"/>
      <c r="C191" s="221"/>
    </row>
    <row r="192" spans="1:6" x14ac:dyDescent="0.2">
      <c r="B192" s="221"/>
      <c r="C192" s="29"/>
    </row>
    <row r="193" spans="2:3" x14ac:dyDescent="0.2">
      <c r="B193" s="221"/>
      <c r="C193" s="221"/>
    </row>
    <row r="194" spans="2:3" x14ac:dyDescent="0.2">
      <c r="B194" s="221"/>
      <c r="C194" s="221"/>
    </row>
    <row r="195" spans="2:3" x14ac:dyDescent="0.2">
      <c r="B195" s="221"/>
      <c r="C195" s="29"/>
    </row>
    <row r="196" spans="2:3" x14ac:dyDescent="0.2">
      <c r="B196" s="221"/>
      <c r="C196" s="221"/>
    </row>
    <row r="197" spans="2:3" x14ac:dyDescent="0.2">
      <c r="B197" s="221"/>
      <c r="C197" s="221"/>
    </row>
    <row r="198" spans="2:3" x14ac:dyDescent="0.2">
      <c r="B198" s="221"/>
      <c r="C198" s="221"/>
    </row>
    <row r="199" spans="2:3" x14ac:dyDescent="0.2">
      <c r="B199" s="221"/>
      <c r="C199" s="221"/>
    </row>
    <row r="200" spans="2:3" x14ac:dyDescent="0.2">
      <c r="B200" s="221"/>
      <c r="C200" s="221"/>
    </row>
    <row r="201" spans="2:3" x14ac:dyDescent="0.2">
      <c r="B201" s="221"/>
      <c r="C201" s="221"/>
    </row>
    <row r="202" spans="2:3" x14ac:dyDescent="0.2">
      <c r="B202" s="221"/>
      <c r="C202" s="221"/>
    </row>
    <row r="203" spans="2:3" x14ac:dyDescent="0.2">
      <c r="B203" s="221"/>
      <c r="C203" s="221"/>
    </row>
    <row r="204" spans="2:3" x14ac:dyDescent="0.2">
      <c r="B204" s="221"/>
      <c r="C204" s="221"/>
    </row>
    <row r="205" spans="2:3" x14ac:dyDescent="0.2">
      <c r="C205" s="29"/>
    </row>
    <row r="206" spans="2:3" x14ac:dyDescent="0.2">
      <c r="B206" s="221"/>
      <c r="C206" s="221"/>
    </row>
    <row r="207" spans="2:3" x14ac:dyDescent="0.2">
      <c r="B207" s="221"/>
      <c r="C207" s="221"/>
    </row>
    <row r="208" spans="2:3" x14ac:dyDescent="0.2">
      <c r="B208" s="221"/>
      <c r="C208" s="221"/>
    </row>
    <row r="209" spans="2:4" x14ac:dyDescent="0.2">
      <c r="B209" s="221"/>
      <c r="C209" s="221"/>
    </row>
    <row r="210" spans="2:4" x14ac:dyDescent="0.2">
      <c r="B210" s="221"/>
      <c r="C210" s="221"/>
    </row>
    <row r="211" spans="2:4" x14ac:dyDescent="0.2">
      <c r="B211" s="221"/>
      <c r="C211" s="221"/>
    </row>
    <row r="212" spans="2:4" x14ac:dyDescent="0.2">
      <c r="B212" s="221"/>
      <c r="C212" s="221"/>
    </row>
    <row r="213" spans="2:4" x14ac:dyDescent="0.2">
      <c r="C213" s="29"/>
      <c r="D213" s="226"/>
    </row>
    <row r="214" spans="2:4" x14ac:dyDescent="0.2">
      <c r="C214" s="29"/>
    </row>
    <row r="215" spans="2:4" x14ac:dyDescent="0.2">
      <c r="B215" s="221"/>
      <c r="C215" s="221"/>
    </row>
    <row r="216" spans="2:4" x14ac:dyDescent="0.2">
      <c r="B216" s="221"/>
      <c r="C216" s="221"/>
    </row>
    <row r="217" spans="2:4" x14ac:dyDescent="0.2">
      <c r="B217" s="221"/>
      <c r="C217" s="221"/>
    </row>
    <row r="218" spans="2:4" x14ac:dyDescent="0.2">
      <c r="B218" s="221"/>
      <c r="C218" s="221"/>
    </row>
    <row r="219" spans="2:4" x14ac:dyDescent="0.2">
      <c r="B219" s="221"/>
      <c r="C219" s="221"/>
    </row>
    <row r="220" spans="2:4" x14ac:dyDescent="0.2">
      <c r="B220" s="221"/>
      <c r="C220" s="221"/>
    </row>
    <row r="221" spans="2:4" x14ac:dyDescent="0.2">
      <c r="B221" s="221"/>
      <c r="C221" s="221"/>
    </row>
    <row r="222" spans="2:4" x14ac:dyDescent="0.2">
      <c r="B222" s="221"/>
      <c r="C222" s="221"/>
    </row>
    <row r="223" spans="2:4" x14ac:dyDescent="0.2">
      <c r="B223" s="221"/>
      <c r="C223" s="221"/>
    </row>
    <row r="224" spans="2:4" x14ac:dyDescent="0.2">
      <c r="B224" s="221"/>
      <c r="C224" s="221"/>
    </row>
    <row r="225" spans="2:5" x14ac:dyDescent="0.2">
      <c r="B225" s="221"/>
      <c r="C225" s="221"/>
    </row>
    <row r="226" spans="2:5" x14ac:dyDescent="0.2">
      <c r="B226" s="221"/>
      <c r="C226" s="221"/>
      <c r="E226" s="155"/>
    </row>
    <row r="227" spans="2:5" x14ac:dyDescent="0.2">
      <c r="B227" s="221"/>
      <c r="C227" s="221"/>
    </row>
    <row r="228" spans="2:5" x14ac:dyDescent="0.2">
      <c r="B228" s="221"/>
      <c r="C228" s="221"/>
    </row>
    <row r="229" spans="2:5" x14ac:dyDescent="0.2">
      <c r="B229" s="221"/>
      <c r="C229" s="221"/>
    </row>
    <row r="230" spans="2:5" x14ac:dyDescent="0.2">
      <c r="B230" s="221"/>
      <c r="C230" s="221"/>
    </row>
    <row r="231" spans="2:5" x14ac:dyDescent="0.2">
      <c r="B231" s="221"/>
      <c r="C231" s="221"/>
    </row>
    <row r="232" spans="2:5" x14ac:dyDescent="0.2">
      <c r="B232" s="221"/>
      <c r="C232" s="221"/>
    </row>
    <row r="233" spans="2:5" x14ac:dyDescent="0.2">
      <c r="B233" s="221"/>
      <c r="C233" s="221"/>
    </row>
    <row r="234" spans="2:5" x14ac:dyDescent="0.2">
      <c r="B234" s="221"/>
      <c r="C234" s="221"/>
    </row>
    <row r="235" spans="2:5" x14ac:dyDescent="0.2">
      <c r="B235" s="221"/>
      <c r="C235" s="221"/>
    </row>
    <row r="236" spans="2:5" x14ac:dyDescent="0.2">
      <c r="B236" s="221"/>
      <c r="C236" s="221"/>
    </row>
    <row r="237" spans="2:5" x14ac:dyDescent="0.2">
      <c r="B237" s="221"/>
      <c r="C237" s="221"/>
    </row>
    <row r="238" spans="2:5" x14ac:dyDescent="0.2">
      <c r="B238" s="221"/>
      <c r="C238" s="221"/>
    </row>
    <row r="239" spans="2:5" x14ac:dyDescent="0.2">
      <c r="B239" s="221"/>
      <c r="C239" s="221"/>
    </row>
    <row r="240" spans="2:5" x14ac:dyDescent="0.2">
      <c r="B240" s="221"/>
      <c r="C240" s="221"/>
    </row>
    <row r="241" spans="2:4" x14ac:dyDescent="0.2">
      <c r="B241" s="221"/>
      <c r="C241" s="221"/>
    </row>
    <row r="242" spans="2:4" x14ac:dyDescent="0.2">
      <c r="B242" s="221"/>
      <c r="C242" s="221"/>
    </row>
    <row r="243" spans="2:4" x14ac:dyDescent="0.2">
      <c r="B243" s="221"/>
      <c r="C243" s="221"/>
    </row>
    <row r="244" spans="2:4" x14ac:dyDescent="0.2">
      <c r="B244" s="221"/>
      <c r="C244" s="221"/>
    </row>
    <row r="245" spans="2:4" x14ac:dyDescent="0.2">
      <c r="B245" s="221"/>
      <c r="C245" s="221"/>
    </row>
    <row r="246" spans="2:4" x14ac:dyDescent="0.2">
      <c r="B246" s="221"/>
      <c r="C246" s="221"/>
    </row>
    <row r="247" spans="2:4" x14ac:dyDescent="0.2">
      <c r="B247" s="221"/>
      <c r="C247" s="221"/>
    </row>
    <row r="248" spans="2:4" x14ac:dyDescent="0.2">
      <c r="B248" s="221"/>
      <c r="C248" s="221"/>
    </row>
    <row r="249" spans="2:4" x14ac:dyDescent="0.2">
      <c r="B249" s="221"/>
      <c r="C249" s="221"/>
      <c r="D249" s="30"/>
    </row>
    <row r="250" spans="2:4" x14ac:dyDescent="0.2">
      <c r="B250" s="221"/>
      <c r="C250" s="221"/>
    </row>
    <row r="251" spans="2:4" x14ac:dyDescent="0.2">
      <c r="B251" s="221"/>
      <c r="C251" s="221"/>
    </row>
    <row r="252" spans="2:4" x14ac:dyDescent="0.2">
      <c r="B252" s="221"/>
      <c r="C252" s="221"/>
    </row>
    <row r="253" spans="2:4" x14ac:dyDescent="0.2">
      <c r="B253" s="221"/>
      <c r="C253" s="221"/>
    </row>
    <row r="254" spans="2:4" x14ac:dyDescent="0.2">
      <c r="B254" s="221"/>
      <c r="C254" s="221"/>
    </row>
    <row r="255" spans="2:4" x14ac:dyDescent="0.2">
      <c r="B255" s="221"/>
      <c r="C255" s="221"/>
    </row>
    <row r="256" spans="2:4" x14ac:dyDescent="0.2">
      <c r="B256" s="221"/>
      <c r="C256" s="221"/>
    </row>
    <row r="257" spans="2:3" x14ac:dyDescent="0.2">
      <c r="B257" s="221"/>
      <c r="C257" s="221"/>
    </row>
    <row r="258" spans="2:3" x14ac:dyDescent="0.2">
      <c r="B258" s="221"/>
      <c r="C258" s="221"/>
    </row>
    <row r="259" spans="2:3" x14ac:dyDescent="0.2">
      <c r="B259" s="221"/>
      <c r="C259" s="221"/>
    </row>
    <row r="260" spans="2:3" x14ac:dyDescent="0.2">
      <c r="B260" s="221"/>
      <c r="C260" s="221"/>
    </row>
    <row r="261" spans="2:3" x14ac:dyDescent="0.2">
      <c r="B261" s="221"/>
      <c r="C261" s="221"/>
    </row>
    <row r="262" spans="2:3" x14ac:dyDescent="0.2">
      <c r="B262" s="221"/>
      <c r="C262" s="221"/>
    </row>
    <row r="263" spans="2:3" x14ac:dyDescent="0.2">
      <c r="B263" s="221"/>
      <c r="C263" s="221"/>
    </row>
    <row r="264" spans="2:3" x14ac:dyDescent="0.2">
      <c r="B264" s="221"/>
      <c r="C264" s="221"/>
    </row>
    <row r="265" spans="2:3" x14ac:dyDescent="0.2">
      <c r="B265" s="221"/>
      <c r="C265" s="221"/>
    </row>
    <row r="266" spans="2:3" x14ac:dyDescent="0.2">
      <c r="B266" s="221"/>
      <c r="C266" s="221"/>
    </row>
    <row r="267" spans="2:3" x14ac:dyDescent="0.2">
      <c r="B267" s="221"/>
      <c r="C267" s="221"/>
    </row>
    <row r="268" spans="2:3" x14ac:dyDescent="0.2">
      <c r="B268" s="221"/>
      <c r="C268" s="221"/>
    </row>
    <row r="269" spans="2:3" x14ac:dyDescent="0.2">
      <c r="B269" s="221"/>
      <c r="C269" s="221"/>
    </row>
    <row r="270" spans="2:3" x14ac:dyDescent="0.2">
      <c r="B270" s="221"/>
      <c r="C270" s="221"/>
    </row>
    <row r="271" spans="2:3" x14ac:dyDescent="0.2">
      <c r="B271" s="221"/>
      <c r="C271" s="221"/>
    </row>
    <row r="272" spans="2:3" x14ac:dyDescent="0.2">
      <c r="B272" s="221"/>
      <c r="C272" s="221"/>
    </row>
    <row r="273" spans="2:3" x14ac:dyDescent="0.2">
      <c r="B273" s="221"/>
      <c r="C273" s="221"/>
    </row>
    <row r="274" spans="2:3" x14ac:dyDescent="0.2">
      <c r="B274" s="221"/>
      <c r="C274" s="221"/>
    </row>
    <row r="275" spans="2:3" x14ac:dyDescent="0.2">
      <c r="B275" s="221"/>
      <c r="C275" s="221"/>
    </row>
    <row r="276" spans="2:3" x14ac:dyDescent="0.2">
      <c r="B276" s="221"/>
      <c r="C276" s="221"/>
    </row>
    <row r="277" spans="2:3" x14ac:dyDescent="0.2">
      <c r="B277" s="221"/>
      <c r="C277" s="221"/>
    </row>
    <row r="278" spans="2:3" x14ac:dyDescent="0.2">
      <c r="B278" s="221"/>
      <c r="C278" s="221"/>
    </row>
    <row r="279" spans="2:3" x14ac:dyDescent="0.2">
      <c r="B279" s="221"/>
      <c r="C279" s="221"/>
    </row>
    <row r="280" spans="2:3" x14ac:dyDescent="0.2">
      <c r="B280" s="221"/>
      <c r="C280" s="221"/>
    </row>
    <row r="281" spans="2:3" x14ac:dyDescent="0.2">
      <c r="B281" s="221"/>
      <c r="C281" s="221"/>
    </row>
    <row r="282" spans="2:3" x14ac:dyDescent="0.2">
      <c r="B282" s="221"/>
      <c r="C282" s="221"/>
    </row>
    <row r="283" spans="2:3" x14ac:dyDescent="0.2">
      <c r="B283" s="221"/>
      <c r="C283" s="221"/>
    </row>
    <row r="284" spans="2:3" x14ac:dyDescent="0.2">
      <c r="B284" s="221"/>
      <c r="C284" s="221"/>
    </row>
    <row r="285" spans="2:3" x14ac:dyDescent="0.2">
      <c r="B285" s="221"/>
      <c r="C285" s="221"/>
    </row>
    <row r="286" spans="2:3" x14ac:dyDescent="0.2">
      <c r="B286" s="221"/>
      <c r="C286" s="221"/>
    </row>
    <row r="287" spans="2:3" x14ac:dyDescent="0.2">
      <c r="B287" s="221"/>
      <c r="C287" s="221"/>
    </row>
    <row r="288" spans="2:3" x14ac:dyDescent="0.2">
      <c r="B288" s="221"/>
      <c r="C288" s="221"/>
    </row>
    <row r="289" spans="2:3" x14ac:dyDescent="0.2">
      <c r="B289" s="221"/>
      <c r="C289" s="221"/>
    </row>
    <row r="290" spans="2:3" x14ac:dyDescent="0.2">
      <c r="B290" s="221"/>
      <c r="C290" s="221"/>
    </row>
    <row r="291" spans="2:3" x14ac:dyDescent="0.2">
      <c r="B291" s="221"/>
      <c r="C291" s="221"/>
    </row>
    <row r="292" spans="2:3" x14ac:dyDescent="0.2">
      <c r="B292" s="221"/>
      <c r="C292" s="221"/>
    </row>
    <row r="293" spans="2:3" x14ac:dyDescent="0.2">
      <c r="B293" s="221"/>
      <c r="C293" s="221"/>
    </row>
    <row r="294" spans="2:3" x14ac:dyDescent="0.2">
      <c r="B294" s="221"/>
      <c r="C294" s="221"/>
    </row>
    <row r="295" spans="2:3" x14ac:dyDescent="0.2">
      <c r="B295" s="221"/>
      <c r="C295" s="221"/>
    </row>
    <row r="296" spans="2:3" x14ac:dyDescent="0.2">
      <c r="B296" s="221"/>
      <c r="C296" s="221"/>
    </row>
    <row r="297" spans="2:3" x14ac:dyDescent="0.2">
      <c r="B297" s="221"/>
      <c r="C297" s="221"/>
    </row>
    <row r="298" spans="2:3" x14ac:dyDescent="0.2">
      <c r="B298" s="221"/>
      <c r="C298" s="221"/>
    </row>
    <row r="299" spans="2:3" x14ac:dyDescent="0.2">
      <c r="B299" s="221"/>
      <c r="C299" s="221"/>
    </row>
    <row r="300" spans="2:3" x14ac:dyDescent="0.2">
      <c r="B300" s="221"/>
      <c r="C300" s="221"/>
    </row>
    <row r="301" spans="2:3" x14ac:dyDescent="0.2">
      <c r="B301" s="221"/>
      <c r="C301" s="221"/>
    </row>
    <row r="302" spans="2:3" x14ac:dyDescent="0.2">
      <c r="B302" s="221"/>
      <c r="C302" s="221"/>
    </row>
    <row r="303" spans="2:3" x14ac:dyDescent="0.2">
      <c r="B303" s="221"/>
      <c r="C303" s="221"/>
    </row>
    <row r="304" spans="2:3" x14ac:dyDescent="0.2">
      <c r="B304" s="221"/>
      <c r="C304" s="221"/>
    </row>
    <row r="305" spans="2:3" x14ac:dyDescent="0.2">
      <c r="B305" s="221"/>
      <c r="C305" s="221"/>
    </row>
    <row r="306" spans="2:3" x14ac:dyDescent="0.2">
      <c r="B306" s="221"/>
      <c r="C306" s="221"/>
    </row>
    <row r="307" spans="2:3" x14ac:dyDescent="0.2">
      <c r="B307" s="221"/>
      <c r="C307" s="221"/>
    </row>
    <row r="308" spans="2:3" x14ac:dyDescent="0.2">
      <c r="B308" s="221"/>
      <c r="C308" s="221"/>
    </row>
    <row r="309" spans="2:3" x14ac:dyDescent="0.2">
      <c r="B309" s="221"/>
      <c r="C309" s="221"/>
    </row>
    <row r="310" spans="2:3" x14ac:dyDescent="0.2">
      <c r="B310" s="221"/>
      <c r="C310" s="221"/>
    </row>
    <row r="311" spans="2:3" x14ac:dyDescent="0.2">
      <c r="B311" s="221"/>
      <c r="C311" s="221"/>
    </row>
    <row r="312" spans="2:3" x14ac:dyDescent="0.2">
      <c r="B312" s="221"/>
      <c r="C312" s="221"/>
    </row>
    <row r="313" spans="2:3" x14ac:dyDescent="0.2">
      <c r="B313" s="221"/>
      <c r="C313" s="221"/>
    </row>
  </sheetData>
  <autoFilter ref="A1:D1" xr:uid="{00000000-0009-0000-0000-000001000000}">
    <sortState ref="A2:D191">
      <sortCondition ref="A1"/>
    </sortState>
  </autoFilter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Exp">
                <anchor moveWithCells="1" sizeWithCells="1">
                  <from>
                    <xdr:col>4</xdr:col>
                    <xdr:colOff>0</xdr:colOff>
                    <xdr:row>1</xdr:row>
                    <xdr:rowOff>12700</xdr:rowOff>
                  </from>
                  <to>
                    <xdr:col>4</xdr:col>
                    <xdr:colOff>584200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66"/>
  <sheetViews>
    <sheetView zoomScale="120" zoomScaleNormal="120" workbookViewId="0">
      <selection activeCell="O7" sqref="O7"/>
    </sheetView>
  </sheetViews>
  <sheetFormatPr baseColWidth="10" defaultColWidth="8.83203125" defaultRowHeight="15" x14ac:dyDescent="0.2"/>
  <cols>
    <col min="1" max="1" width="10.6640625" style="35" customWidth="1"/>
    <col min="2" max="2" width="23.33203125" style="28" customWidth="1"/>
    <col min="3" max="3" width="14" style="28" customWidth="1"/>
    <col min="4" max="4" width="11.5" style="30" customWidth="1"/>
    <col min="6" max="6" width="15" customWidth="1"/>
    <col min="7" max="7" width="11.5" bestFit="1" customWidth="1"/>
    <col min="8" max="9" width="11.5" style="3" customWidth="1"/>
    <col min="10" max="10" width="24.6640625" customWidth="1"/>
    <col min="11" max="11" width="11" customWidth="1"/>
    <col min="13" max="13" width="15.33203125" customWidth="1"/>
    <col min="14" max="14" width="15.5" customWidth="1"/>
    <col min="15" max="15" width="11.5" style="3" customWidth="1"/>
    <col min="16" max="16" width="11.5" customWidth="1"/>
    <col min="17" max="17" width="16.5" style="72" customWidth="1"/>
    <col min="18" max="18" width="10.6640625" bestFit="1" customWidth="1"/>
  </cols>
  <sheetData>
    <row r="1" spans="1:18" ht="16" thickBot="1" x14ac:dyDescent="0.25">
      <c r="A1" s="31" t="s">
        <v>0</v>
      </c>
      <c r="B1" s="32" t="s">
        <v>1</v>
      </c>
      <c r="C1" s="32" t="s">
        <v>2</v>
      </c>
      <c r="D1" s="40" t="s">
        <v>3</v>
      </c>
      <c r="E1" s="23"/>
      <c r="F1" s="162" t="s">
        <v>23</v>
      </c>
      <c r="G1" s="162"/>
      <c r="H1" s="163" t="s">
        <v>6</v>
      </c>
      <c r="I1" s="164" t="s">
        <v>7</v>
      </c>
      <c r="J1" s="165"/>
      <c r="K1" s="162"/>
      <c r="M1" s="1" t="s">
        <v>4</v>
      </c>
      <c r="N1" s="1" t="s">
        <v>5</v>
      </c>
      <c r="O1" s="27" t="s">
        <v>6</v>
      </c>
      <c r="P1" s="24" t="s">
        <v>7</v>
      </c>
      <c r="Q1" s="68" t="s">
        <v>8</v>
      </c>
      <c r="R1" s="1" t="s">
        <v>0</v>
      </c>
    </row>
    <row r="2" spans="1:18" x14ac:dyDescent="0.2">
      <c r="A2" s="33">
        <v>43490</v>
      </c>
      <c r="B2" s="28" t="s">
        <v>188</v>
      </c>
      <c r="C2" s="29" t="s">
        <v>184</v>
      </c>
      <c r="D2" s="30">
        <v>100</v>
      </c>
      <c r="F2" s="171" t="s">
        <v>20</v>
      </c>
      <c r="G2" s="172"/>
      <c r="H2" s="173"/>
      <c r="I2" s="173"/>
      <c r="J2" s="174"/>
      <c r="K2" s="175" t="s">
        <v>24</v>
      </c>
      <c r="M2" t="s">
        <v>16</v>
      </c>
      <c r="N2" t="s">
        <v>17</v>
      </c>
      <c r="O2" s="26">
        <v>2000</v>
      </c>
      <c r="P2" s="25">
        <f>H53</f>
        <v>0</v>
      </c>
      <c r="Q2" s="69" t="s">
        <v>18</v>
      </c>
    </row>
    <row r="3" spans="1:18" x14ac:dyDescent="0.2">
      <c r="A3" s="34"/>
      <c r="C3" s="29"/>
      <c r="F3" s="201"/>
      <c r="G3" s="15" t="s">
        <v>25</v>
      </c>
      <c r="H3" s="11">
        <v>0</v>
      </c>
      <c r="I3" s="181"/>
      <c r="J3" s="182" t="s">
        <v>140</v>
      </c>
      <c r="K3" s="183" t="e">
        <f>I3/($H$19-$I$18)</f>
        <v>#DIV/0!</v>
      </c>
      <c r="N3" t="s">
        <v>19</v>
      </c>
      <c r="O3" s="26">
        <v>0</v>
      </c>
      <c r="P3" s="25">
        <f>H19</f>
        <v>100</v>
      </c>
      <c r="Q3" s="69" t="s">
        <v>20</v>
      </c>
    </row>
    <row r="4" spans="1:18" x14ac:dyDescent="0.2">
      <c r="A4" s="34"/>
      <c r="C4" s="29"/>
      <c r="F4" s="201"/>
      <c r="G4" s="184"/>
      <c r="H4" s="181"/>
      <c r="I4" s="181"/>
      <c r="J4" s="182" t="s">
        <v>26</v>
      </c>
      <c r="K4" s="183" t="e">
        <f t="shared" ref="K4:K17" si="0">I4/($H$19-$I$18)</f>
        <v>#DIV/0!</v>
      </c>
      <c r="N4" t="s">
        <v>51</v>
      </c>
      <c r="O4" s="26">
        <v>0</v>
      </c>
      <c r="P4" s="25">
        <f>O24</f>
        <v>0</v>
      </c>
      <c r="Q4" s="70" t="s">
        <v>45</v>
      </c>
    </row>
    <row r="5" spans="1:18" x14ac:dyDescent="0.2">
      <c r="A5" s="34"/>
      <c r="C5" s="29"/>
      <c r="F5" s="179"/>
      <c r="G5" s="184"/>
      <c r="H5" s="181"/>
      <c r="I5" s="181"/>
      <c r="J5" s="16" t="s">
        <v>68</v>
      </c>
      <c r="K5" s="183" t="e">
        <f t="shared" si="0"/>
        <v>#DIV/0!</v>
      </c>
      <c r="N5" t="s">
        <v>90</v>
      </c>
      <c r="O5" s="26">
        <v>0</v>
      </c>
      <c r="P5" s="25">
        <v>0</v>
      </c>
      <c r="Q5" s="69" t="s">
        <v>84</v>
      </c>
      <c r="R5" s="4"/>
    </row>
    <row r="6" spans="1:18" x14ac:dyDescent="0.2">
      <c r="A6" s="33"/>
      <c r="C6" s="29"/>
      <c r="F6" s="179"/>
      <c r="G6" s="184"/>
      <c r="H6" s="181"/>
      <c r="I6" s="181"/>
      <c r="J6" s="182" t="s">
        <v>27</v>
      </c>
      <c r="K6" s="183" t="e">
        <f t="shared" si="0"/>
        <v>#DIV/0!</v>
      </c>
      <c r="O6" s="26">
        <v>0</v>
      </c>
      <c r="P6" s="25">
        <v>0</v>
      </c>
      <c r="Q6" s="69"/>
      <c r="R6" s="4"/>
    </row>
    <row r="7" spans="1:18" x14ac:dyDescent="0.2">
      <c r="A7" s="33"/>
      <c r="C7" s="29"/>
      <c r="F7" s="179"/>
      <c r="G7" s="184"/>
      <c r="H7" s="181"/>
      <c r="I7" s="181"/>
      <c r="J7" s="182" t="s">
        <v>28</v>
      </c>
      <c r="K7" s="183" t="e">
        <f t="shared" si="0"/>
        <v>#DIV/0!</v>
      </c>
      <c r="O7" s="26"/>
      <c r="P7" s="25">
        <v>0</v>
      </c>
      <c r="Q7" s="239" t="s">
        <v>200</v>
      </c>
      <c r="R7" s="4"/>
    </row>
    <row r="8" spans="1:18" x14ac:dyDescent="0.2">
      <c r="A8" s="33"/>
      <c r="C8" s="29"/>
      <c r="F8" s="179"/>
      <c r="G8" s="184"/>
      <c r="H8" s="181"/>
      <c r="I8" s="181"/>
      <c r="J8" s="182" t="s">
        <v>29</v>
      </c>
      <c r="K8" s="183" t="e">
        <f t="shared" si="0"/>
        <v>#DIV/0!</v>
      </c>
      <c r="O8" s="26"/>
      <c r="P8" s="39">
        <f>SUM(O2:P5)</f>
        <v>2100</v>
      </c>
      <c r="Q8" s="71" t="s">
        <v>15</v>
      </c>
      <c r="R8" s="4"/>
    </row>
    <row r="9" spans="1:18" x14ac:dyDescent="0.2">
      <c r="A9" s="33"/>
      <c r="C9" s="29"/>
      <c r="F9" s="179"/>
      <c r="G9" s="184"/>
      <c r="H9" s="181"/>
      <c r="I9" s="181"/>
      <c r="J9" s="16" t="s">
        <v>30</v>
      </c>
      <c r="K9" s="183" t="e">
        <f t="shared" si="0"/>
        <v>#DIV/0!</v>
      </c>
      <c r="O9" s="26"/>
      <c r="R9" s="4"/>
    </row>
    <row r="10" spans="1:18" x14ac:dyDescent="0.2">
      <c r="A10" s="33"/>
      <c r="C10" s="29"/>
      <c r="F10" s="179"/>
      <c r="G10" s="184"/>
      <c r="H10" s="181"/>
      <c r="I10" s="181"/>
      <c r="J10" s="193" t="s">
        <v>31</v>
      </c>
      <c r="K10" s="183" t="e">
        <f t="shared" si="0"/>
        <v>#DIV/0!</v>
      </c>
      <c r="O10" s="43"/>
      <c r="P10" s="43"/>
      <c r="Q10" s="69"/>
    </row>
    <row r="11" spans="1:18" x14ac:dyDescent="0.2">
      <c r="A11" s="33"/>
      <c r="C11" s="29"/>
      <c r="F11" s="179"/>
      <c r="G11" s="184"/>
      <c r="H11" s="181"/>
      <c r="I11" s="181"/>
      <c r="J11" s="193" t="s">
        <v>32</v>
      </c>
      <c r="K11" s="183" t="e">
        <f t="shared" si="0"/>
        <v>#DIV/0!</v>
      </c>
    </row>
    <row r="12" spans="1:18" x14ac:dyDescent="0.2">
      <c r="A12" s="33"/>
      <c r="C12" s="29"/>
      <c r="F12" s="179"/>
      <c r="G12" s="184"/>
      <c r="H12" s="181"/>
      <c r="I12" s="181"/>
      <c r="J12" s="62" t="s">
        <v>195</v>
      </c>
      <c r="K12" s="183" t="e">
        <f t="shared" si="0"/>
        <v>#DIV/0!</v>
      </c>
    </row>
    <row r="13" spans="1:18" x14ac:dyDescent="0.2">
      <c r="A13" s="33"/>
      <c r="C13" s="29"/>
      <c r="F13" s="179"/>
      <c r="G13" s="184"/>
      <c r="H13" s="181"/>
      <c r="I13" s="181"/>
      <c r="J13" s="16"/>
      <c r="K13" s="183" t="e">
        <f t="shared" si="0"/>
        <v>#DIV/0!</v>
      </c>
    </row>
    <row r="14" spans="1:18" x14ac:dyDescent="0.2">
      <c r="A14" s="33"/>
      <c r="C14" s="29"/>
      <c r="F14" s="179"/>
      <c r="G14" s="184"/>
      <c r="H14" s="181"/>
      <c r="I14" s="181"/>
      <c r="J14" s="184"/>
      <c r="K14" s="183" t="e">
        <f t="shared" si="0"/>
        <v>#DIV/0!</v>
      </c>
    </row>
    <row r="15" spans="1:18" ht="16" thickBot="1" x14ac:dyDescent="0.25">
      <c r="A15" s="33"/>
      <c r="C15" s="29"/>
      <c r="F15" s="179"/>
      <c r="G15" s="184"/>
      <c r="H15" s="181"/>
      <c r="I15" s="181"/>
      <c r="J15" s="193"/>
      <c r="K15" s="183" t="e">
        <f t="shared" si="0"/>
        <v>#DIV/0!</v>
      </c>
    </row>
    <row r="16" spans="1:18" x14ac:dyDescent="0.2">
      <c r="A16" s="33"/>
      <c r="C16" s="29"/>
      <c r="F16" s="179"/>
      <c r="G16" s="184"/>
      <c r="H16" s="203"/>
      <c r="I16" s="181"/>
      <c r="J16" s="184"/>
      <c r="K16" s="183" t="e">
        <f t="shared" si="0"/>
        <v>#DIV/0!</v>
      </c>
      <c r="M16" s="22" t="s">
        <v>43</v>
      </c>
      <c r="N16" s="7"/>
      <c r="O16" s="36"/>
      <c r="P16" s="36"/>
      <c r="Q16" s="73" t="s">
        <v>17</v>
      </c>
      <c r="R16" s="51"/>
    </row>
    <row r="17" spans="1:18" x14ac:dyDescent="0.2">
      <c r="A17" s="33"/>
      <c r="C17" s="29"/>
      <c r="F17" s="201"/>
      <c r="G17" s="202"/>
      <c r="H17" s="203"/>
      <c r="I17" s="181"/>
      <c r="J17" s="122" t="s">
        <v>33</v>
      </c>
      <c r="K17" s="183" t="e">
        <f t="shared" si="0"/>
        <v>#DIV/0!</v>
      </c>
      <c r="M17" s="9"/>
      <c r="N17" s="10"/>
      <c r="O17" s="11"/>
      <c r="P17" s="11"/>
      <c r="Q17" s="74"/>
      <c r="R17" s="12"/>
    </row>
    <row r="18" spans="1:18" x14ac:dyDescent="0.2">
      <c r="A18" s="33"/>
      <c r="C18" s="29"/>
      <c r="F18" s="201"/>
      <c r="G18" s="184"/>
      <c r="H18" s="203"/>
      <c r="I18" s="181">
        <v>100</v>
      </c>
      <c r="J18" s="16" t="s">
        <v>184</v>
      </c>
      <c r="K18" s="183"/>
      <c r="M18" s="9"/>
      <c r="N18" s="10"/>
      <c r="O18" s="11"/>
      <c r="P18" s="11"/>
      <c r="Q18" s="74"/>
      <c r="R18" s="12"/>
    </row>
    <row r="19" spans="1:18" ht="16" thickBot="1" x14ac:dyDescent="0.25">
      <c r="A19" s="33"/>
      <c r="C19" s="29"/>
      <c r="F19" s="234"/>
      <c r="G19" s="195" t="s">
        <v>15</v>
      </c>
      <c r="H19" s="217">
        <f>SUM(I2:I19)</f>
        <v>100</v>
      </c>
      <c r="I19" s="196"/>
      <c r="J19" s="195"/>
      <c r="K19" s="183" t="e">
        <f>SUM(K3:K18)</f>
        <v>#DIV/0!</v>
      </c>
      <c r="M19" s="9"/>
      <c r="N19" s="10"/>
      <c r="O19" s="11"/>
      <c r="P19" s="11"/>
      <c r="Q19" s="74"/>
      <c r="R19" s="12"/>
    </row>
    <row r="20" spans="1:18" x14ac:dyDescent="0.2">
      <c r="A20" s="33"/>
      <c r="C20" s="29"/>
      <c r="F20" s="22" t="s">
        <v>44</v>
      </c>
      <c r="G20" s="7" t="s">
        <v>15</v>
      </c>
      <c r="H20" s="36"/>
      <c r="I20" s="36"/>
      <c r="J20" s="7" t="s">
        <v>17</v>
      </c>
      <c r="K20" s="8"/>
      <c r="M20" s="14"/>
      <c r="N20" s="10"/>
      <c r="O20" s="11"/>
      <c r="P20" s="11"/>
      <c r="Q20" s="74"/>
      <c r="R20" s="12"/>
    </row>
    <row r="21" spans="1:18" x14ac:dyDescent="0.2">
      <c r="A21" s="34"/>
      <c r="C21" s="29"/>
      <c r="F21" s="201"/>
      <c r="G21" s="184"/>
      <c r="H21" s="181"/>
      <c r="I21" s="181"/>
      <c r="J21" s="184"/>
      <c r="K21" s="204"/>
      <c r="M21" s="14"/>
      <c r="N21" s="10"/>
      <c r="O21" s="11"/>
      <c r="P21" s="11"/>
      <c r="Q21" s="74"/>
      <c r="R21" s="12"/>
    </row>
    <row r="22" spans="1:18" x14ac:dyDescent="0.2">
      <c r="A22" s="33"/>
      <c r="C22" s="29"/>
      <c r="F22" s="201"/>
      <c r="G22" s="184"/>
      <c r="H22" s="181"/>
      <c r="I22" s="181"/>
      <c r="J22" s="184"/>
      <c r="K22" s="204"/>
      <c r="M22" s="14"/>
      <c r="N22" s="10"/>
      <c r="O22" s="11"/>
      <c r="P22" s="11"/>
      <c r="Q22" s="74"/>
      <c r="R22" s="12"/>
    </row>
    <row r="23" spans="1:18" x14ac:dyDescent="0.2">
      <c r="A23" s="33"/>
      <c r="C23" s="29"/>
      <c r="F23" s="201"/>
      <c r="G23" s="184"/>
      <c r="H23" s="181"/>
      <c r="I23" s="181"/>
      <c r="J23" s="184"/>
      <c r="K23" s="204"/>
      <c r="M23" s="14"/>
      <c r="N23" s="10"/>
      <c r="O23" s="11"/>
      <c r="P23" s="11"/>
      <c r="Q23" s="74"/>
      <c r="R23" s="12"/>
    </row>
    <row r="24" spans="1:18" ht="16" thickBot="1" x14ac:dyDescent="0.25">
      <c r="A24" s="33"/>
      <c r="C24" s="29"/>
      <c r="F24" s="201"/>
      <c r="G24" s="184"/>
      <c r="H24" s="181"/>
      <c r="I24" s="181"/>
      <c r="J24" s="184"/>
      <c r="K24" s="204"/>
      <c r="M24" s="19"/>
      <c r="N24" s="13" t="s">
        <v>15</v>
      </c>
      <c r="O24" s="37">
        <f>SUM(O16:P23)</f>
        <v>0</v>
      </c>
      <c r="P24" s="37"/>
      <c r="Q24" s="75"/>
      <c r="R24" s="20"/>
    </row>
    <row r="25" spans="1:18" x14ac:dyDescent="0.2">
      <c r="A25" s="34"/>
      <c r="C25" s="29"/>
      <c r="F25" s="179"/>
      <c r="G25" s="184"/>
      <c r="H25" s="181"/>
      <c r="I25" s="181"/>
      <c r="J25" s="184"/>
      <c r="K25" s="204"/>
      <c r="M25" s="15"/>
      <c r="N25" s="15"/>
      <c r="O25" s="45"/>
      <c r="P25" s="45"/>
      <c r="Q25" s="76"/>
      <c r="R25" s="44"/>
    </row>
    <row r="26" spans="1:18" x14ac:dyDescent="0.2">
      <c r="A26" s="33"/>
      <c r="C26" s="29"/>
      <c r="F26" s="179"/>
      <c r="G26" s="184"/>
      <c r="H26" s="181"/>
      <c r="I26" s="181"/>
      <c r="J26" s="184"/>
      <c r="K26" s="204"/>
      <c r="M26" s="15"/>
      <c r="N26" s="42"/>
      <c r="O26" s="45"/>
      <c r="P26" s="45"/>
      <c r="Q26" s="76"/>
      <c r="R26" s="10"/>
    </row>
    <row r="27" spans="1:18" x14ac:dyDescent="0.2">
      <c r="A27" s="33"/>
      <c r="C27" s="29"/>
      <c r="F27" s="179"/>
      <c r="G27" s="184"/>
      <c r="H27" s="181"/>
      <c r="I27" s="181"/>
      <c r="J27" s="184"/>
      <c r="K27" s="204"/>
      <c r="M27" s="10"/>
      <c r="N27" s="10"/>
      <c r="O27" s="43"/>
      <c r="P27" s="43"/>
      <c r="Q27" s="77"/>
      <c r="R27" s="10"/>
    </row>
    <row r="28" spans="1:18" x14ac:dyDescent="0.2">
      <c r="A28" s="33"/>
      <c r="C28" s="29"/>
      <c r="F28" s="179"/>
      <c r="G28" s="184"/>
      <c r="H28" s="181"/>
      <c r="I28" s="181"/>
      <c r="J28" s="184"/>
      <c r="K28" s="204"/>
      <c r="M28" s="60"/>
      <c r="N28" s="10"/>
      <c r="O28" s="6"/>
      <c r="P28" s="10"/>
      <c r="Q28" s="77"/>
      <c r="R28" s="10"/>
    </row>
    <row r="29" spans="1:18" x14ac:dyDescent="0.2">
      <c r="A29" s="33"/>
      <c r="C29" s="29"/>
      <c r="F29" s="201"/>
      <c r="G29" s="184"/>
      <c r="H29" s="181"/>
      <c r="I29" s="181"/>
      <c r="J29" s="184"/>
      <c r="K29" s="204"/>
      <c r="M29" s="10"/>
      <c r="N29" s="10"/>
      <c r="O29" s="6"/>
      <c r="P29" s="10"/>
      <c r="Q29" s="77"/>
      <c r="R29" s="10"/>
    </row>
    <row r="30" spans="1:18" x14ac:dyDescent="0.2">
      <c r="A30" s="33"/>
      <c r="C30" s="29"/>
      <c r="F30" s="179"/>
      <c r="G30" s="184"/>
      <c r="H30" s="181"/>
      <c r="I30" s="181"/>
      <c r="J30" s="184"/>
      <c r="K30" s="204"/>
      <c r="M30" s="10"/>
      <c r="N30" s="10"/>
      <c r="O30" s="6"/>
      <c r="P30" s="10"/>
      <c r="Q30" s="77"/>
      <c r="R30" s="10"/>
    </row>
    <row r="31" spans="1:18" x14ac:dyDescent="0.2">
      <c r="A31" s="33"/>
      <c r="C31" s="29"/>
      <c r="F31" s="179"/>
      <c r="G31" s="184"/>
      <c r="H31" s="181"/>
      <c r="I31" s="181"/>
      <c r="J31" s="184"/>
      <c r="K31" s="204"/>
      <c r="M31" s="52"/>
      <c r="N31" s="10"/>
      <c r="O31" s="6"/>
      <c r="P31" s="10"/>
      <c r="Q31" s="77"/>
      <c r="R31" s="10"/>
    </row>
    <row r="32" spans="1:18" x14ac:dyDescent="0.2">
      <c r="A32" s="33"/>
      <c r="C32" s="29"/>
      <c r="F32" s="179"/>
      <c r="G32" s="184"/>
      <c r="H32" s="181"/>
      <c r="I32" s="181"/>
      <c r="J32" s="184"/>
      <c r="K32" s="204"/>
      <c r="M32" s="10"/>
      <c r="N32" s="10"/>
      <c r="O32" s="6"/>
      <c r="P32" s="10"/>
      <c r="Q32" s="77"/>
      <c r="R32" s="10"/>
    </row>
    <row r="33" spans="1:18" x14ac:dyDescent="0.2">
      <c r="A33" s="33"/>
      <c r="C33" s="29"/>
      <c r="F33" s="179"/>
      <c r="G33" s="184"/>
      <c r="H33" s="181"/>
      <c r="I33" s="181"/>
      <c r="J33" s="184"/>
      <c r="K33" s="204"/>
      <c r="M33" s="10"/>
      <c r="N33" s="10"/>
      <c r="O33" s="6"/>
      <c r="P33" s="10"/>
      <c r="Q33" s="77"/>
      <c r="R33" s="10"/>
    </row>
    <row r="34" spans="1:18" x14ac:dyDescent="0.2">
      <c r="A34" s="33"/>
      <c r="C34" s="29"/>
      <c r="F34" s="179"/>
      <c r="G34" s="184"/>
      <c r="H34" s="181"/>
      <c r="I34" s="181"/>
      <c r="J34" s="184"/>
      <c r="K34" s="204"/>
      <c r="M34" s="10"/>
      <c r="N34" s="10"/>
      <c r="O34" s="6"/>
      <c r="P34" s="10"/>
      <c r="Q34" s="77"/>
      <c r="R34" s="10"/>
    </row>
    <row r="35" spans="1:18" x14ac:dyDescent="0.2">
      <c r="A35" s="33"/>
      <c r="C35" s="29"/>
      <c r="F35" s="179"/>
      <c r="G35" s="184"/>
      <c r="H35" s="181"/>
      <c r="I35" s="181"/>
      <c r="J35" s="184"/>
      <c r="K35" s="204"/>
      <c r="M35" s="10"/>
      <c r="N35" s="10"/>
      <c r="O35" s="6"/>
      <c r="P35" s="10"/>
      <c r="Q35" s="77"/>
      <c r="R35" s="10"/>
    </row>
    <row r="36" spans="1:18" x14ac:dyDescent="0.2">
      <c r="A36" s="34"/>
      <c r="C36" s="29"/>
      <c r="F36" s="201"/>
      <c r="G36" s="184"/>
      <c r="H36" s="181"/>
      <c r="I36" s="181"/>
      <c r="J36" s="184"/>
      <c r="K36" s="204"/>
      <c r="M36" s="10"/>
      <c r="N36" s="10"/>
      <c r="O36" s="6"/>
      <c r="P36" s="10"/>
      <c r="Q36" s="77"/>
      <c r="R36" s="10"/>
    </row>
    <row r="37" spans="1:18" x14ac:dyDescent="0.2">
      <c r="A37" s="34"/>
      <c r="C37" s="29"/>
      <c r="F37" s="201"/>
      <c r="G37" s="184"/>
      <c r="H37" s="181"/>
      <c r="I37" s="181"/>
      <c r="J37" s="184"/>
      <c r="K37" s="204"/>
      <c r="M37" s="10"/>
      <c r="N37" s="10"/>
      <c r="O37" s="6"/>
      <c r="P37" s="10"/>
      <c r="Q37" s="77"/>
      <c r="R37" s="10"/>
    </row>
    <row r="38" spans="1:18" x14ac:dyDescent="0.2">
      <c r="A38" s="34"/>
      <c r="C38" s="29"/>
      <c r="F38" s="201"/>
      <c r="G38" s="184"/>
      <c r="H38" s="181"/>
      <c r="I38" s="181"/>
      <c r="J38" s="184"/>
      <c r="K38" s="204"/>
      <c r="M38" s="10"/>
      <c r="R38" s="10"/>
    </row>
    <row r="39" spans="1:18" x14ac:dyDescent="0.2">
      <c r="A39" s="33"/>
      <c r="C39" s="29"/>
      <c r="F39" s="201"/>
      <c r="G39" s="184"/>
      <c r="H39" s="181"/>
      <c r="I39" s="181"/>
      <c r="J39" s="184"/>
      <c r="K39" s="204"/>
      <c r="M39" s="10"/>
      <c r="R39" s="10"/>
    </row>
    <row r="40" spans="1:18" x14ac:dyDescent="0.2">
      <c r="A40" s="34"/>
      <c r="C40" s="29"/>
      <c r="F40" s="201"/>
      <c r="G40" s="184"/>
      <c r="H40" s="181"/>
      <c r="I40" s="181"/>
      <c r="J40" s="184"/>
      <c r="K40" s="204"/>
      <c r="M40" s="10"/>
      <c r="R40" s="10"/>
    </row>
    <row r="41" spans="1:18" x14ac:dyDescent="0.2">
      <c r="A41" s="34"/>
      <c r="C41" s="29"/>
      <c r="F41" s="201"/>
      <c r="G41" s="184"/>
      <c r="H41" s="181"/>
      <c r="I41" s="181"/>
      <c r="J41" s="184"/>
      <c r="K41" s="204"/>
      <c r="M41" s="10"/>
      <c r="R41" s="10"/>
    </row>
    <row r="42" spans="1:18" x14ac:dyDescent="0.2">
      <c r="A42" s="33"/>
      <c r="C42" s="29"/>
      <c r="F42" s="201"/>
      <c r="G42" s="184"/>
      <c r="H42" s="181"/>
      <c r="I42" s="181"/>
      <c r="J42" s="184"/>
      <c r="K42" s="204"/>
      <c r="M42" s="10"/>
      <c r="R42" s="10"/>
    </row>
    <row r="43" spans="1:18" x14ac:dyDescent="0.2">
      <c r="A43" s="33"/>
      <c r="C43" s="29"/>
      <c r="F43" s="201"/>
      <c r="G43" s="184"/>
      <c r="H43" s="181"/>
      <c r="I43" s="181"/>
      <c r="J43" s="184"/>
      <c r="K43" s="204"/>
      <c r="M43" s="10"/>
      <c r="N43" s="10"/>
      <c r="O43" s="6"/>
      <c r="P43" s="10"/>
      <c r="Q43" s="77"/>
      <c r="R43" s="10"/>
    </row>
    <row r="44" spans="1:18" x14ac:dyDescent="0.2">
      <c r="A44" s="33"/>
      <c r="C44" s="29"/>
      <c r="F44" s="201"/>
      <c r="G44" s="184"/>
      <c r="H44" s="181"/>
      <c r="I44" s="181"/>
      <c r="J44" s="184"/>
      <c r="K44" s="204"/>
      <c r="M44" s="10"/>
      <c r="N44" s="10"/>
      <c r="O44" s="6"/>
      <c r="P44" s="10"/>
      <c r="Q44" s="77"/>
      <c r="R44" s="10"/>
    </row>
    <row r="45" spans="1:18" x14ac:dyDescent="0.2">
      <c r="A45" s="33"/>
      <c r="C45" s="29"/>
      <c r="F45" s="201"/>
      <c r="G45" s="184"/>
      <c r="H45" s="181"/>
      <c r="I45" s="181"/>
      <c r="J45" s="184"/>
      <c r="K45" s="215"/>
      <c r="M45" s="10"/>
      <c r="N45" s="10"/>
      <c r="O45" s="6"/>
      <c r="P45" s="10"/>
      <c r="Q45" s="77"/>
      <c r="R45" s="10"/>
    </row>
    <row r="46" spans="1:18" x14ac:dyDescent="0.2">
      <c r="A46" s="33"/>
      <c r="C46" s="29"/>
      <c r="F46" s="201"/>
      <c r="G46" s="184"/>
      <c r="H46" s="181"/>
      <c r="I46" s="181"/>
      <c r="J46" s="184"/>
      <c r="K46" s="215"/>
      <c r="M46" s="10"/>
      <c r="N46" s="10"/>
      <c r="O46" s="6"/>
      <c r="P46" s="10"/>
      <c r="Q46" s="77"/>
      <c r="R46" s="10"/>
    </row>
    <row r="47" spans="1:18" x14ac:dyDescent="0.2">
      <c r="A47" s="33"/>
      <c r="C47" s="29"/>
      <c r="F47" s="201"/>
      <c r="G47" s="184"/>
      <c r="H47" s="181"/>
      <c r="I47" s="181"/>
      <c r="J47" s="184"/>
      <c r="K47" s="215"/>
      <c r="M47" s="10"/>
      <c r="N47" s="10"/>
      <c r="O47" s="6"/>
      <c r="P47" s="10"/>
      <c r="Q47" s="77"/>
    </row>
    <row r="48" spans="1:18" x14ac:dyDescent="0.2">
      <c r="A48" s="34"/>
      <c r="C48" s="29"/>
      <c r="F48" s="201"/>
      <c r="G48" s="184"/>
      <c r="H48" s="181"/>
      <c r="I48" s="181"/>
      <c r="J48" s="184"/>
      <c r="K48" s="215"/>
      <c r="M48" s="10"/>
      <c r="N48" s="10"/>
      <c r="O48" s="6"/>
      <c r="P48" s="10"/>
      <c r="Q48" s="77"/>
    </row>
    <row r="49" spans="1:11" x14ac:dyDescent="0.2">
      <c r="A49" s="33"/>
      <c r="C49" s="29"/>
      <c r="F49" s="201"/>
      <c r="G49" s="184"/>
      <c r="H49" s="181"/>
      <c r="I49" s="181"/>
      <c r="J49" s="184"/>
      <c r="K49" s="215"/>
    </row>
    <row r="50" spans="1:11" x14ac:dyDescent="0.2">
      <c r="A50" s="34"/>
      <c r="C50" s="29"/>
      <c r="F50" s="179"/>
      <c r="G50" s="184"/>
      <c r="H50" s="181"/>
      <c r="I50" s="181"/>
      <c r="J50" s="184"/>
      <c r="K50" s="215"/>
    </row>
    <row r="51" spans="1:11" x14ac:dyDescent="0.2">
      <c r="A51" s="33"/>
      <c r="C51" s="29"/>
      <c r="F51" s="179"/>
      <c r="G51" s="184"/>
      <c r="H51" s="181"/>
      <c r="I51" s="181"/>
      <c r="J51" s="184"/>
      <c r="K51" s="215"/>
    </row>
    <row r="52" spans="1:11" x14ac:dyDescent="0.2">
      <c r="A52" s="33"/>
      <c r="C52" s="29"/>
      <c r="F52" s="179"/>
      <c r="G52" s="184"/>
      <c r="H52" s="181"/>
      <c r="I52" s="181"/>
      <c r="J52" s="184"/>
      <c r="K52" s="215"/>
    </row>
    <row r="53" spans="1:11" ht="16" thickBot="1" x14ac:dyDescent="0.25">
      <c r="A53" s="33"/>
      <c r="C53" s="29"/>
      <c r="F53" s="194"/>
      <c r="G53" s="216"/>
      <c r="H53" s="217"/>
      <c r="I53" s="196"/>
      <c r="J53" s="195"/>
      <c r="K53" s="218"/>
    </row>
    <row r="54" spans="1:11" x14ac:dyDescent="0.2">
      <c r="A54" s="33"/>
      <c r="C54" s="29"/>
    </row>
    <row r="55" spans="1:11" x14ac:dyDescent="0.2">
      <c r="A55" s="33"/>
      <c r="C55" s="29"/>
    </row>
    <row r="56" spans="1:11" x14ac:dyDescent="0.2">
      <c r="A56" s="33"/>
      <c r="C56" s="29"/>
    </row>
    <row r="58" spans="1:11" x14ac:dyDescent="0.2">
      <c r="A58" s="33"/>
      <c r="C58" s="29"/>
    </row>
    <row r="59" spans="1:11" x14ac:dyDescent="0.2">
      <c r="A59" s="33"/>
      <c r="C59" s="29"/>
    </row>
    <row r="60" spans="1:11" x14ac:dyDescent="0.2">
      <c r="A60" s="33"/>
      <c r="C60" s="29"/>
    </row>
    <row r="61" spans="1:11" x14ac:dyDescent="0.2">
      <c r="A61" s="33"/>
      <c r="C61" s="29"/>
    </row>
    <row r="62" spans="1:11" x14ac:dyDescent="0.2">
      <c r="A62" s="33"/>
      <c r="C62" s="29"/>
      <c r="G62" s="10"/>
    </row>
    <row r="63" spans="1:11" x14ac:dyDescent="0.2">
      <c r="A63" s="34"/>
      <c r="C63" s="29"/>
      <c r="G63" s="67"/>
    </row>
    <row r="64" spans="1:11" x14ac:dyDescent="0.2">
      <c r="A64" s="33"/>
      <c r="C64" s="29"/>
      <c r="G64" s="41"/>
    </row>
    <row r="65" spans="1:7" x14ac:dyDescent="0.2">
      <c r="A65" s="33"/>
      <c r="C65" s="29"/>
      <c r="G65" s="41"/>
    </row>
    <row r="66" spans="1:7" x14ac:dyDescent="0.2">
      <c r="A66" s="33"/>
      <c r="C66" s="29"/>
      <c r="G66" s="41"/>
    </row>
    <row r="67" spans="1:7" x14ac:dyDescent="0.2">
      <c r="A67" s="33"/>
      <c r="C67" s="29"/>
      <c r="G67" s="41"/>
    </row>
    <row r="68" spans="1:7" x14ac:dyDescent="0.2">
      <c r="A68" s="33"/>
      <c r="C68" s="29"/>
      <c r="G68" s="41"/>
    </row>
    <row r="69" spans="1:7" x14ac:dyDescent="0.2">
      <c r="A69" s="33"/>
      <c r="C69" s="29"/>
      <c r="G69" s="41"/>
    </row>
    <row r="70" spans="1:7" x14ac:dyDescent="0.2">
      <c r="A70" s="33"/>
      <c r="C70" s="29"/>
      <c r="G70" s="41"/>
    </row>
    <row r="71" spans="1:7" x14ac:dyDescent="0.2">
      <c r="A71" s="33"/>
      <c r="C71" s="29"/>
      <c r="G71" s="41"/>
    </row>
    <row r="72" spans="1:7" x14ac:dyDescent="0.2">
      <c r="A72" s="33"/>
      <c r="C72" s="29"/>
    </row>
    <row r="73" spans="1:7" x14ac:dyDescent="0.2">
      <c r="A73" s="33"/>
      <c r="C73" s="29"/>
    </row>
    <row r="74" spans="1:7" x14ac:dyDescent="0.2">
      <c r="A74" s="33"/>
      <c r="C74" s="29"/>
    </row>
    <row r="75" spans="1:7" x14ac:dyDescent="0.2">
      <c r="A75" s="34"/>
      <c r="C75" s="29"/>
    </row>
    <row r="76" spans="1:7" x14ac:dyDescent="0.2">
      <c r="A76" s="33"/>
      <c r="C76" s="29"/>
    </row>
    <row r="77" spans="1:7" x14ac:dyDescent="0.2">
      <c r="A77" s="34"/>
      <c r="C77" s="29"/>
    </row>
    <row r="78" spans="1:7" x14ac:dyDescent="0.2">
      <c r="A78" s="34"/>
      <c r="C78" s="29"/>
    </row>
    <row r="79" spans="1:7" x14ac:dyDescent="0.2">
      <c r="A79" s="34"/>
      <c r="C79" s="29"/>
    </row>
    <row r="80" spans="1:7" x14ac:dyDescent="0.2">
      <c r="A80" s="34"/>
      <c r="C80" s="29"/>
    </row>
    <row r="81" spans="1:3" x14ac:dyDescent="0.2">
      <c r="A81" s="34"/>
      <c r="C81" s="29"/>
    </row>
    <row r="82" spans="1:3" x14ac:dyDescent="0.2">
      <c r="A82" s="34"/>
      <c r="C82" s="29"/>
    </row>
    <row r="83" spans="1:3" x14ac:dyDescent="0.2">
      <c r="A83" s="34"/>
      <c r="C83" s="29"/>
    </row>
    <row r="84" spans="1:3" x14ac:dyDescent="0.2">
      <c r="A84" s="34"/>
      <c r="C84" s="29"/>
    </row>
    <row r="85" spans="1:3" x14ac:dyDescent="0.2">
      <c r="A85" s="34"/>
      <c r="C85" s="29"/>
    </row>
    <row r="86" spans="1:3" x14ac:dyDescent="0.2">
      <c r="A86" s="34"/>
      <c r="C86" s="29"/>
    </row>
    <row r="87" spans="1:3" x14ac:dyDescent="0.2">
      <c r="A87" s="34"/>
      <c r="C87" s="29"/>
    </row>
    <row r="88" spans="1:3" x14ac:dyDescent="0.2">
      <c r="A88" s="34"/>
      <c r="C88" s="29"/>
    </row>
    <row r="89" spans="1:3" x14ac:dyDescent="0.2">
      <c r="A89" s="34"/>
      <c r="C89" s="29"/>
    </row>
    <row r="90" spans="1:3" x14ac:dyDescent="0.2">
      <c r="A90" s="34"/>
      <c r="C90" s="29"/>
    </row>
    <row r="91" spans="1:3" x14ac:dyDescent="0.2">
      <c r="A91" s="34"/>
      <c r="C91" s="29"/>
    </row>
    <row r="92" spans="1:3" x14ac:dyDescent="0.2">
      <c r="A92" s="34"/>
      <c r="C92" s="29"/>
    </row>
    <row r="93" spans="1:3" x14ac:dyDescent="0.2">
      <c r="A93" s="34"/>
      <c r="C93" s="29"/>
    </row>
    <row r="94" spans="1:3" x14ac:dyDescent="0.2">
      <c r="A94" s="34"/>
      <c r="C94" s="29"/>
    </row>
    <row r="95" spans="1:3" x14ac:dyDescent="0.2">
      <c r="A95" s="34"/>
      <c r="C95" s="29"/>
    </row>
    <row r="96" spans="1:3" x14ac:dyDescent="0.2">
      <c r="A96" s="34"/>
      <c r="C96" s="29"/>
    </row>
    <row r="97" spans="1:3" x14ac:dyDescent="0.2">
      <c r="A97" s="34"/>
      <c r="C97" s="29"/>
    </row>
    <row r="98" spans="1:3" x14ac:dyDescent="0.2">
      <c r="A98" s="34"/>
      <c r="C98" s="29"/>
    </row>
    <row r="99" spans="1:3" x14ac:dyDescent="0.2">
      <c r="A99" s="34"/>
      <c r="C99" s="29"/>
    </row>
    <row r="100" spans="1:3" x14ac:dyDescent="0.2">
      <c r="A100" s="34"/>
      <c r="C100" s="29"/>
    </row>
    <row r="101" spans="1:3" x14ac:dyDescent="0.2">
      <c r="A101" s="34"/>
      <c r="C101" s="29"/>
    </row>
    <row r="102" spans="1:3" x14ac:dyDescent="0.2">
      <c r="A102" s="34"/>
      <c r="C102" s="29"/>
    </row>
    <row r="103" spans="1:3" x14ac:dyDescent="0.2">
      <c r="A103" s="34"/>
      <c r="C103" s="29"/>
    </row>
    <row r="104" spans="1:3" x14ac:dyDescent="0.2">
      <c r="A104" s="34"/>
      <c r="C104" s="29"/>
    </row>
    <row r="105" spans="1:3" x14ac:dyDescent="0.2">
      <c r="A105" s="34"/>
      <c r="C105" s="29"/>
    </row>
    <row r="106" spans="1:3" x14ac:dyDescent="0.2">
      <c r="A106" s="34"/>
      <c r="C106" s="29"/>
    </row>
    <row r="107" spans="1:3" x14ac:dyDescent="0.2">
      <c r="A107" s="34"/>
      <c r="C107" s="29"/>
    </row>
    <row r="108" spans="1:3" x14ac:dyDescent="0.2">
      <c r="A108" s="34"/>
      <c r="C108" s="29"/>
    </row>
    <row r="109" spans="1:3" x14ac:dyDescent="0.2">
      <c r="A109" s="34"/>
      <c r="C109" s="29"/>
    </row>
    <row r="110" spans="1:3" x14ac:dyDescent="0.2">
      <c r="A110" s="34"/>
      <c r="C110" s="29"/>
    </row>
    <row r="111" spans="1:3" x14ac:dyDescent="0.2">
      <c r="A111" s="34"/>
    </row>
    <row r="112" spans="1:3" x14ac:dyDescent="0.2">
      <c r="A112" s="34"/>
    </row>
    <row r="113" spans="1:1" x14ac:dyDescent="0.2">
      <c r="A113" s="34"/>
    </row>
    <row r="114" spans="1:1" x14ac:dyDescent="0.2">
      <c r="A114" s="34"/>
    </row>
    <row r="115" spans="1:1" x14ac:dyDescent="0.2">
      <c r="A115" s="34"/>
    </row>
    <row r="116" spans="1:1" x14ac:dyDescent="0.2">
      <c r="A116" s="34"/>
    </row>
    <row r="117" spans="1:1" x14ac:dyDescent="0.2">
      <c r="A117" s="34"/>
    </row>
    <row r="118" spans="1:1" x14ac:dyDescent="0.2">
      <c r="A118" s="34"/>
    </row>
    <row r="119" spans="1:1" x14ac:dyDescent="0.2">
      <c r="A119" s="34"/>
    </row>
    <row r="120" spans="1:1" x14ac:dyDescent="0.2">
      <c r="A120" s="34"/>
    </row>
    <row r="121" spans="1:1" x14ac:dyDescent="0.2">
      <c r="A121" s="34"/>
    </row>
    <row r="122" spans="1:1" x14ac:dyDescent="0.2">
      <c r="A122" s="34"/>
    </row>
    <row r="123" spans="1:1" x14ac:dyDescent="0.2">
      <c r="A123" s="34"/>
    </row>
    <row r="124" spans="1:1" x14ac:dyDescent="0.2">
      <c r="A124" s="34"/>
    </row>
    <row r="125" spans="1:1" x14ac:dyDescent="0.2">
      <c r="A125" s="34"/>
    </row>
    <row r="126" spans="1:1" x14ac:dyDescent="0.2">
      <c r="A126" s="34"/>
    </row>
    <row r="127" spans="1:1" x14ac:dyDescent="0.2">
      <c r="A127" s="34"/>
    </row>
    <row r="128" spans="1:1" x14ac:dyDescent="0.2">
      <c r="A128" s="34"/>
    </row>
    <row r="129" spans="1:3" x14ac:dyDescent="0.2">
      <c r="A129" s="34"/>
    </row>
    <row r="130" spans="1:3" x14ac:dyDescent="0.2">
      <c r="A130" s="34"/>
    </row>
    <row r="131" spans="1:3" x14ac:dyDescent="0.2">
      <c r="A131" s="34"/>
    </row>
    <row r="132" spans="1:3" x14ac:dyDescent="0.2">
      <c r="A132" s="34"/>
    </row>
    <row r="133" spans="1:3" x14ac:dyDescent="0.2">
      <c r="A133" s="34"/>
    </row>
    <row r="134" spans="1:3" x14ac:dyDescent="0.2">
      <c r="A134" s="34"/>
    </row>
    <row r="135" spans="1:3" x14ac:dyDescent="0.2">
      <c r="A135" s="34"/>
    </row>
    <row r="136" spans="1:3" x14ac:dyDescent="0.2">
      <c r="A136" s="34"/>
      <c r="B136" s="29"/>
      <c r="C136" s="29"/>
    </row>
    <row r="137" spans="1:3" x14ac:dyDescent="0.2">
      <c r="A137" s="34"/>
    </row>
    <row r="138" spans="1:3" x14ac:dyDescent="0.2">
      <c r="A138" s="34"/>
    </row>
    <row r="139" spans="1:3" x14ac:dyDescent="0.2">
      <c r="A139" s="34"/>
    </row>
    <row r="140" spans="1:3" x14ac:dyDescent="0.2">
      <c r="A140" s="34"/>
    </row>
    <row r="141" spans="1:3" x14ac:dyDescent="0.2">
      <c r="A141" s="34"/>
    </row>
    <row r="142" spans="1:3" x14ac:dyDescent="0.2">
      <c r="A142" s="34"/>
    </row>
    <row r="143" spans="1:3" x14ac:dyDescent="0.2">
      <c r="A143" s="34"/>
    </row>
    <row r="144" spans="1:3" x14ac:dyDescent="0.2">
      <c r="A144" s="34"/>
    </row>
    <row r="145" spans="1:1" x14ac:dyDescent="0.2">
      <c r="A145" s="34"/>
    </row>
    <row r="146" spans="1:1" x14ac:dyDescent="0.2">
      <c r="A146" s="34"/>
    </row>
    <row r="147" spans="1:1" x14ac:dyDescent="0.2">
      <c r="A147" s="34"/>
    </row>
    <row r="148" spans="1:1" x14ac:dyDescent="0.2">
      <c r="A148" s="34"/>
    </row>
    <row r="149" spans="1:1" x14ac:dyDescent="0.2">
      <c r="A149" s="34"/>
    </row>
    <row r="150" spans="1:1" x14ac:dyDescent="0.2">
      <c r="A150" s="34"/>
    </row>
    <row r="151" spans="1:1" x14ac:dyDescent="0.2">
      <c r="A151" s="34"/>
    </row>
    <row r="152" spans="1:1" x14ac:dyDescent="0.2">
      <c r="A152" s="34"/>
    </row>
    <row r="153" spans="1:1" x14ac:dyDescent="0.2">
      <c r="A153" s="34"/>
    </row>
    <row r="154" spans="1:1" x14ac:dyDescent="0.2">
      <c r="A154" s="34"/>
    </row>
    <row r="155" spans="1:1" x14ac:dyDescent="0.2">
      <c r="A155" s="34"/>
    </row>
    <row r="156" spans="1:1" x14ac:dyDescent="0.2">
      <c r="A156" s="34"/>
    </row>
    <row r="157" spans="1:1" x14ac:dyDescent="0.2">
      <c r="A157" s="34"/>
    </row>
    <row r="158" spans="1:1" x14ac:dyDescent="0.2">
      <c r="A158" s="34"/>
    </row>
    <row r="159" spans="1:1" x14ac:dyDescent="0.2">
      <c r="A159" s="34"/>
    </row>
    <row r="160" spans="1:1" x14ac:dyDescent="0.2">
      <c r="A160" s="34"/>
    </row>
    <row r="161" spans="1:1" x14ac:dyDescent="0.2">
      <c r="A161" s="34"/>
    </row>
    <row r="162" spans="1:1" x14ac:dyDescent="0.2">
      <c r="A162" s="34"/>
    </row>
    <row r="163" spans="1:1" x14ac:dyDescent="0.2">
      <c r="A163" s="34"/>
    </row>
    <row r="164" spans="1:1" x14ac:dyDescent="0.2">
      <c r="A164" s="34"/>
    </row>
    <row r="165" spans="1:1" x14ac:dyDescent="0.2">
      <c r="A165" s="34"/>
    </row>
    <row r="166" spans="1:1" x14ac:dyDescent="0.2">
      <c r="A166" s="34"/>
    </row>
  </sheetData>
  <autoFilter ref="A1:D1" xr:uid="{00000000-0009-0000-0000-000002000000}">
    <sortState ref="A2:D18">
      <sortCondition ref="A1"/>
    </sortState>
  </autoFilter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alcExp">
                <anchor moveWithCells="1" sizeWithCells="1">
                  <from>
                    <xdr:col>4</xdr:col>
                    <xdr:colOff>0</xdr:colOff>
                    <xdr:row>0</xdr:row>
                    <xdr:rowOff>190500</xdr:rowOff>
                  </from>
                  <to>
                    <xdr:col>4</xdr:col>
                    <xdr:colOff>584200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5C3BE-EA99-465B-A587-A1F0309315B4}">
  <sheetPr codeName="Sheet4"/>
  <dimension ref="A1:R161"/>
  <sheetViews>
    <sheetView zoomScale="120" zoomScaleNormal="120" workbookViewId="0">
      <selection activeCell="D4" sqref="D4"/>
    </sheetView>
  </sheetViews>
  <sheetFormatPr baseColWidth="10" defaultColWidth="8.83203125" defaultRowHeight="15" x14ac:dyDescent="0.2"/>
  <cols>
    <col min="1" max="1" width="10.6640625" style="35" customWidth="1"/>
    <col min="2" max="2" width="23.33203125" style="28" customWidth="1"/>
    <col min="3" max="3" width="14" style="28" customWidth="1"/>
    <col min="4" max="4" width="11.5" style="30" customWidth="1"/>
    <col min="6" max="6" width="15" customWidth="1"/>
    <col min="7" max="7" width="11.5" bestFit="1" customWidth="1"/>
    <col min="8" max="9" width="11.5" style="3" customWidth="1"/>
    <col min="10" max="10" width="24.6640625" customWidth="1"/>
    <col min="11" max="11" width="11" customWidth="1"/>
    <col min="13" max="13" width="15.33203125" customWidth="1"/>
    <col min="14" max="14" width="15.5" customWidth="1"/>
    <col min="15" max="15" width="11.5" style="3" customWidth="1"/>
    <col min="16" max="16" width="11.5" customWidth="1"/>
    <col min="17" max="17" width="16.5" style="72" customWidth="1"/>
    <col min="18" max="18" width="10.6640625" bestFit="1" customWidth="1"/>
  </cols>
  <sheetData>
    <row r="1" spans="1:18" ht="16" thickBot="1" x14ac:dyDescent="0.25">
      <c r="A1" s="31" t="s">
        <v>0</v>
      </c>
      <c r="B1" s="32" t="s">
        <v>1</v>
      </c>
      <c r="C1" s="32" t="s">
        <v>2</v>
      </c>
      <c r="D1" s="40" t="s">
        <v>3</v>
      </c>
      <c r="E1" s="23"/>
      <c r="F1" s="162" t="s">
        <v>23</v>
      </c>
      <c r="G1" s="162"/>
      <c r="H1" s="163" t="s">
        <v>6</v>
      </c>
      <c r="I1" s="164" t="s">
        <v>7</v>
      </c>
      <c r="J1" s="165"/>
      <c r="K1" s="162"/>
      <c r="M1" s="1" t="s">
        <v>4</v>
      </c>
      <c r="N1" s="1" t="s">
        <v>5</v>
      </c>
      <c r="O1" s="27" t="s">
        <v>6</v>
      </c>
      <c r="P1" s="24" t="s">
        <v>7</v>
      </c>
      <c r="Q1" s="68" t="s">
        <v>8</v>
      </c>
      <c r="R1" s="1" t="s">
        <v>0</v>
      </c>
    </row>
    <row r="2" spans="1:18" x14ac:dyDescent="0.2">
      <c r="A2" s="34">
        <v>43388</v>
      </c>
      <c r="B2" s="221" t="s">
        <v>183</v>
      </c>
      <c r="C2" s="222" t="s">
        <v>184</v>
      </c>
      <c r="D2" s="226">
        <v>5500</v>
      </c>
      <c r="F2" s="171" t="s">
        <v>20</v>
      </c>
      <c r="G2" s="172"/>
      <c r="H2" s="173"/>
      <c r="I2" s="173"/>
      <c r="J2" s="174"/>
      <c r="K2" s="175" t="s">
        <v>24</v>
      </c>
      <c r="M2" t="s">
        <v>16</v>
      </c>
      <c r="N2" t="s">
        <v>17</v>
      </c>
      <c r="O2" s="26">
        <v>0</v>
      </c>
      <c r="P2" s="25">
        <f>H53</f>
        <v>0</v>
      </c>
      <c r="Q2" s="69" t="s">
        <v>18</v>
      </c>
    </row>
    <row r="3" spans="1:18" x14ac:dyDescent="0.2">
      <c r="A3" s="34">
        <v>43391</v>
      </c>
      <c r="B3" s="221" t="s">
        <v>205</v>
      </c>
      <c r="C3" s="221" t="s">
        <v>184</v>
      </c>
      <c r="D3" s="226">
        <v>2000</v>
      </c>
      <c r="F3" s="201"/>
      <c r="G3" s="15" t="s">
        <v>25</v>
      </c>
      <c r="H3" s="11">
        <v>0</v>
      </c>
      <c r="I3" s="181"/>
      <c r="J3" s="182" t="s">
        <v>140</v>
      </c>
      <c r="K3" s="183" t="e">
        <f>I3/($H$19-$I$18)</f>
        <v>#DIV/0!</v>
      </c>
      <c r="N3" t="s">
        <v>19</v>
      </c>
      <c r="O3" s="26">
        <v>0</v>
      </c>
      <c r="P3" s="25">
        <f>H19</f>
        <v>7500</v>
      </c>
      <c r="Q3" s="69" t="s">
        <v>20</v>
      </c>
    </row>
    <row r="4" spans="1:18" x14ac:dyDescent="0.2">
      <c r="A4" s="168"/>
      <c r="C4" s="29"/>
      <c r="D4" s="170"/>
      <c r="F4" s="201"/>
      <c r="G4" s="184"/>
      <c r="H4" s="181"/>
      <c r="I4" s="181"/>
      <c r="J4" s="182" t="s">
        <v>26</v>
      </c>
      <c r="K4" s="183" t="e">
        <f t="shared" ref="K4:K17" si="0">I4/($H$19-$I$18)</f>
        <v>#DIV/0!</v>
      </c>
      <c r="N4" t="s">
        <v>51</v>
      </c>
      <c r="O4" s="26">
        <v>0</v>
      </c>
      <c r="P4" s="25">
        <f>O24</f>
        <v>0</v>
      </c>
      <c r="Q4" s="70" t="s">
        <v>45</v>
      </c>
    </row>
    <row r="5" spans="1:18" x14ac:dyDescent="0.2">
      <c r="A5" s="168"/>
      <c r="B5" s="221"/>
      <c r="C5" s="221"/>
      <c r="D5" s="170"/>
      <c r="F5" s="179"/>
      <c r="G5" s="184"/>
      <c r="H5" s="181"/>
      <c r="I5" s="181"/>
      <c r="J5" s="16" t="s">
        <v>68</v>
      </c>
      <c r="K5" s="183" t="e">
        <f t="shared" si="0"/>
        <v>#DIV/0!</v>
      </c>
      <c r="N5" t="s">
        <v>90</v>
      </c>
      <c r="O5" s="26">
        <v>0</v>
      </c>
      <c r="P5" s="25">
        <v>0</v>
      </c>
      <c r="Q5" s="69" t="s">
        <v>84</v>
      </c>
      <c r="R5" s="4"/>
    </row>
    <row r="6" spans="1:18" x14ac:dyDescent="0.2">
      <c r="A6" s="168"/>
      <c r="C6" s="29"/>
      <c r="D6" s="170"/>
      <c r="F6" s="179"/>
      <c r="G6" s="184"/>
      <c r="H6" s="181"/>
      <c r="I6" s="181"/>
      <c r="J6" s="182" t="s">
        <v>27</v>
      </c>
      <c r="K6" s="183" t="e">
        <f t="shared" si="0"/>
        <v>#DIV/0!</v>
      </c>
      <c r="O6" s="26">
        <v>0</v>
      </c>
      <c r="P6" s="25">
        <v>0</v>
      </c>
      <c r="Q6" s="69"/>
      <c r="R6" s="4"/>
    </row>
    <row r="7" spans="1:18" x14ac:dyDescent="0.2">
      <c r="A7" s="189"/>
      <c r="C7" s="29"/>
      <c r="D7" s="170"/>
      <c r="F7" s="179"/>
      <c r="G7" s="184"/>
      <c r="H7" s="181"/>
      <c r="I7" s="181"/>
      <c r="J7" s="182" t="s">
        <v>28</v>
      </c>
      <c r="K7" s="183" t="e">
        <f t="shared" si="0"/>
        <v>#DIV/0!</v>
      </c>
      <c r="O7" s="26"/>
      <c r="P7" s="25">
        <v>0</v>
      </c>
      <c r="Q7" s="239" t="s">
        <v>200</v>
      </c>
      <c r="R7" s="4"/>
    </row>
    <row r="8" spans="1:18" x14ac:dyDescent="0.2">
      <c r="A8" s="168"/>
      <c r="B8" s="222"/>
      <c r="C8" s="229"/>
      <c r="D8" s="170"/>
      <c r="F8" s="179"/>
      <c r="G8" s="184"/>
      <c r="H8" s="181"/>
      <c r="I8" s="181"/>
      <c r="J8" s="182" t="s">
        <v>29</v>
      </c>
      <c r="K8" s="183" t="e">
        <f t="shared" si="0"/>
        <v>#DIV/0!</v>
      </c>
      <c r="O8" s="26"/>
      <c r="P8" s="39">
        <f>SUM(O2:P5)</f>
        <v>7500</v>
      </c>
      <c r="Q8" s="71" t="s">
        <v>15</v>
      </c>
      <c r="R8" s="4"/>
    </row>
    <row r="9" spans="1:18" x14ac:dyDescent="0.2">
      <c r="A9" s="168"/>
      <c r="C9" s="29"/>
      <c r="D9" s="170"/>
      <c r="F9" s="179"/>
      <c r="G9" s="184"/>
      <c r="H9" s="181"/>
      <c r="I9" s="181"/>
      <c r="J9" s="16" t="s">
        <v>30</v>
      </c>
      <c r="K9" s="183" t="e">
        <f t="shared" si="0"/>
        <v>#DIV/0!</v>
      </c>
      <c r="O9" s="26"/>
      <c r="R9" s="4"/>
    </row>
    <row r="10" spans="1:18" x14ac:dyDescent="0.2">
      <c r="A10" s="168"/>
      <c r="B10" s="221"/>
      <c r="C10" s="222"/>
      <c r="D10" s="170"/>
      <c r="F10" s="179"/>
      <c r="G10" s="184"/>
      <c r="H10" s="181"/>
      <c r="I10" s="181"/>
      <c r="J10" s="193" t="s">
        <v>31</v>
      </c>
      <c r="K10" s="183" t="e">
        <f t="shared" si="0"/>
        <v>#DIV/0!</v>
      </c>
    </row>
    <row r="11" spans="1:18" x14ac:dyDescent="0.2">
      <c r="A11" s="189"/>
      <c r="B11" s="221"/>
      <c r="C11" s="222"/>
      <c r="D11" s="170"/>
      <c r="F11" s="179"/>
      <c r="G11" s="184"/>
      <c r="H11" s="181"/>
      <c r="I11" s="181"/>
      <c r="J11" s="193" t="s">
        <v>32</v>
      </c>
      <c r="K11" s="183" t="e">
        <f t="shared" si="0"/>
        <v>#DIV/0!</v>
      </c>
    </row>
    <row r="12" spans="1:18" x14ac:dyDescent="0.2">
      <c r="A12" s="34"/>
      <c r="B12" s="29"/>
      <c r="C12" s="29"/>
      <c r="F12" s="179"/>
      <c r="G12" s="184"/>
      <c r="H12" s="181"/>
      <c r="I12" s="181"/>
      <c r="J12" s="62" t="s">
        <v>195</v>
      </c>
      <c r="K12" s="183" t="e">
        <f t="shared" si="0"/>
        <v>#DIV/0!</v>
      </c>
    </row>
    <row r="13" spans="1:18" x14ac:dyDescent="0.2">
      <c r="A13" s="33"/>
      <c r="F13" s="179"/>
      <c r="G13" s="184"/>
      <c r="H13" s="181"/>
      <c r="I13" s="181"/>
      <c r="J13" s="16" t="s">
        <v>33</v>
      </c>
      <c r="K13" s="183" t="e">
        <f t="shared" si="0"/>
        <v>#DIV/0!</v>
      </c>
    </row>
    <row r="14" spans="1:18" x14ac:dyDescent="0.2">
      <c r="A14" s="33"/>
      <c r="C14" s="29"/>
      <c r="F14" s="179"/>
      <c r="G14" s="184"/>
      <c r="H14" s="181"/>
      <c r="I14" s="181"/>
      <c r="J14" s="184"/>
      <c r="K14" s="183" t="e">
        <f t="shared" si="0"/>
        <v>#DIV/0!</v>
      </c>
    </row>
    <row r="15" spans="1:18" ht="16" thickBot="1" x14ac:dyDescent="0.25">
      <c r="A15" s="33"/>
      <c r="C15" s="29"/>
      <c r="F15" s="179"/>
      <c r="G15" s="184"/>
      <c r="H15" s="181"/>
      <c r="I15" s="181"/>
      <c r="J15" s="193"/>
      <c r="K15" s="183" t="e">
        <f t="shared" si="0"/>
        <v>#DIV/0!</v>
      </c>
    </row>
    <row r="16" spans="1:18" x14ac:dyDescent="0.2">
      <c r="A16" s="34"/>
      <c r="C16" s="29"/>
      <c r="F16" s="179"/>
      <c r="G16" s="184"/>
      <c r="H16" s="203"/>
      <c r="I16" s="181"/>
      <c r="J16" s="184"/>
      <c r="K16" s="183" t="e">
        <f t="shared" si="0"/>
        <v>#DIV/0!</v>
      </c>
      <c r="M16" s="22" t="s">
        <v>43</v>
      </c>
      <c r="N16" s="7"/>
      <c r="O16" s="36"/>
      <c r="P16" s="36"/>
      <c r="Q16" s="73" t="s">
        <v>17</v>
      </c>
      <c r="R16" s="51"/>
    </row>
    <row r="17" spans="1:18" x14ac:dyDescent="0.2">
      <c r="A17" s="33"/>
      <c r="C17" s="29"/>
      <c r="F17" s="201"/>
      <c r="G17" s="202"/>
      <c r="H17" s="203"/>
      <c r="I17" s="181"/>
      <c r="J17" s="184"/>
      <c r="K17" s="183" t="e">
        <f t="shared" si="0"/>
        <v>#DIV/0!</v>
      </c>
      <c r="M17" s="9"/>
      <c r="N17" s="10"/>
      <c r="O17" s="11"/>
      <c r="P17" s="11"/>
      <c r="Q17" s="74"/>
      <c r="R17" s="12"/>
    </row>
    <row r="18" spans="1:18" x14ac:dyDescent="0.2">
      <c r="A18" s="34"/>
      <c r="B18" s="29"/>
      <c r="C18" s="29"/>
      <c r="F18" s="201"/>
      <c r="G18" s="184"/>
      <c r="H18" s="203"/>
      <c r="I18" s="181">
        <v>7500</v>
      </c>
      <c r="J18" s="16" t="s">
        <v>184</v>
      </c>
      <c r="K18" s="183"/>
      <c r="M18" s="9"/>
      <c r="N18" s="10"/>
      <c r="O18" s="11"/>
      <c r="P18" s="11"/>
      <c r="Q18" s="74"/>
      <c r="R18" s="12"/>
    </row>
    <row r="19" spans="1:18" ht="16" thickBot="1" x14ac:dyDescent="0.25">
      <c r="A19" s="33"/>
      <c r="C19" s="29"/>
      <c r="F19" s="234"/>
      <c r="G19" s="195" t="s">
        <v>15</v>
      </c>
      <c r="H19" s="217">
        <f>SUM(I2:I19)</f>
        <v>7500</v>
      </c>
      <c r="I19" s="196"/>
      <c r="J19" s="195"/>
      <c r="K19" s="183" t="e">
        <f>SUM(K3:K18)</f>
        <v>#DIV/0!</v>
      </c>
      <c r="M19" s="9"/>
      <c r="N19" s="10"/>
      <c r="O19" s="11"/>
      <c r="P19" s="11"/>
      <c r="Q19" s="74"/>
      <c r="R19" s="12"/>
    </row>
    <row r="20" spans="1:18" x14ac:dyDescent="0.2">
      <c r="A20" s="33"/>
      <c r="B20" s="29"/>
      <c r="C20" s="29"/>
      <c r="F20" s="22" t="s">
        <v>44</v>
      </c>
      <c r="G20" s="7" t="s">
        <v>15</v>
      </c>
      <c r="H20" s="36"/>
      <c r="I20" s="36"/>
      <c r="J20" s="7" t="s">
        <v>17</v>
      </c>
      <c r="K20" s="8"/>
      <c r="M20" s="14"/>
      <c r="N20" s="10"/>
      <c r="O20" s="11"/>
      <c r="P20" s="11"/>
      <c r="Q20" s="74"/>
      <c r="R20" s="12"/>
    </row>
    <row r="21" spans="1:18" x14ac:dyDescent="0.2">
      <c r="A21" s="34"/>
      <c r="C21" s="29"/>
      <c r="F21" s="201"/>
      <c r="G21" s="184"/>
      <c r="H21" s="181"/>
      <c r="I21" s="181"/>
      <c r="J21" s="184"/>
      <c r="K21" s="204"/>
      <c r="M21" s="14"/>
      <c r="N21" s="10"/>
      <c r="O21" s="11"/>
      <c r="P21" s="11"/>
      <c r="Q21" s="74"/>
      <c r="R21" s="12"/>
    </row>
    <row r="22" spans="1:18" x14ac:dyDescent="0.2">
      <c r="A22" s="33"/>
      <c r="C22" s="29"/>
      <c r="F22" s="201"/>
      <c r="G22" s="184"/>
      <c r="H22" s="181"/>
      <c r="I22" s="181"/>
      <c r="J22" s="184"/>
      <c r="K22" s="204"/>
      <c r="M22" s="14"/>
      <c r="N22" s="10"/>
      <c r="O22" s="11"/>
      <c r="P22" s="11"/>
      <c r="Q22" s="74"/>
      <c r="R22" s="12"/>
    </row>
    <row r="23" spans="1:18" x14ac:dyDescent="0.2">
      <c r="A23" s="33"/>
      <c r="C23" s="29"/>
      <c r="F23" s="201"/>
      <c r="G23" s="184"/>
      <c r="H23" s="181"/>
      <c r="I23" s="181"/>
      <c r="J23" s="184"/>
      <c r="K23" s="204"/>
      <c r="M23" s="14"/>
      <c r="N23" s="10"/>
      <c r="O23" s="11"/>
      <c r="P23" s="11"/>
      <c r="Q23" s="74"/>
      <c r="R23" s="12"/>
    </row>
    <row r="24" spans="1:18" ht="16" thickBot="1" x14ac:dyDescent="0.25">
      <c r="A24" s="33"/>
      <c r="F24" s="201"/>
      <c r="G24" s="184"/>
      <c r="H24" s="181"/>
      <c r="I24" s="181"/>
      <c r="J24" s="184"/>
      <c r="K24" s="204"/>
      <c r="M24" s="19"/>
      <c r="N24" s="13" t="s">
        <v>15</v>
      </c>
      <c r="O24" s="37">
        <f>SUM(O16:P23)</f>
        <v>0</v>
      </c>
      <c r="P24" s="37"/>
      <c r="Q24" s="75"/>
      <c r="R24" s="20"/>
    </row>
    <row r="25" spans="1:18" x14ac:dyDescent="0.2">
      <c r="A25" s="33"/>
      <c r="C25" s="29"/>
      <c r="F25" s="179"/>
      <c r="G25" s="184"/>
      <c r="H25" s="181"/>
      <c r="I25" s="181"/>
      <c r="J25" s="184"/>
      <c r="K25" s="204"/>
      <c r="M25" s="15"/>
      <c r="N25" s="15"/>
      <c r="O25" s="45"/>
      <c r="P25" s="45"/>
      <c r="Q25" s="76"/>
      <c r="R25" s="44"/>
    </row>
    <row r="26" spans="1:18" x14ac:dyDescent="0.2">
      <c r="A26" s="33"/>
      <c r="C26" s="29"/>
      <c r="F26" s="179"/>
      <c r="G26" s="184"/>
      <c r="H26" s="181"/>
      <c r="I26" s="181"/>
      <c r="J26" s="184"/>
      <c r="K26" s="204"/>
      <c r="M26" s="15"/>
      <c r="N26" s="42"/>
      <c r="O26" s="45"/>
      <c r="P26" s="45"/>
      <c r="Q26" s="76"/>
      <c r="R26" s="10"/>
    </row>
    <row r="27" spans="1:18" x14ac:dyDescent="0.2">
      <c r="A27" s="33"/>
      <c r="C27" s="29"/>
      <c r="F27" s="179"/>
      <c r="G27" s="184"/>
      <c r="H27" s="181"/>
      <c r="I27" s="181"/>
      <c r="J27" s="184"/>
      <c r="K27" s="204"/>
      <c r="M27" s="10"/>
      <c r="N27" s="10"/>
      <c r="O27" s="43"/>
      <c r="P27" s="43"/>
      <c r="Q27" s="77"/>
      <c r="R27" s="10"/>
    </row>
    <row r="28" spans="1:18" x14ac:dyDescent="0.2">
      <c r="A28" s="33"/>
      <c r="C28" s="29"/>
      <c r="F28" s="179"/>
      <c r="G28" s="184"/>
      <c r="H28" s="181"/>
      <c r="I28" s="181"/>
      <c r="J28" s="184"/>
      <c r="K28" s="204"/>
      <c r="M28" s="60"/>
      <c r="N28" s="10"/>
      <c r="O28" s="6"/>
      <c r="P28" s="10"/>
      <c r="Q28" s="77"/>
      <c r="R28" s="10"/>
    </row>
    <row r="29" spans="1:18" x14ac:dyDescent="0.2">
      <c r="A29" s="33"/>
      <c r="C29" s="29"/>
      <c r="F29" s="201"/>
      <c r="G29" s="184"/>
      <c r="H29" s="181"/>
      <c r="I29" s="181"/>
      <c r="J29" s="184"/>
      <c r="K29" s="204"/>
      <c r="M29" s="10"/>
      <c r="N29" s="10"/>
      <c r="O29" s="6"/>
      <c r="P29" s="10"/>
      <c r="Q29" s="77"/>
      <c r="R29" s="10"/>
    </row>
    <row r="30" spans="1:18" x14ac:dyDescent="0.2">
      <c r="A30" s="33"/>
      <c r="C30" s="29"/>
      <c r="F30" s="179"/>
      <c r="G30" s="184"/>
      <c r="H30" s="181"/>
      <c r="I30" s="181"/>
      <c r="J30" s="184"/>
      <c r="K30" s="204"/>
      <c r="M30" s="10"/>
      <c r="N30" s="10"/>
      <c r="O30" s="6"/>
      <c r="P30" s="10"/>
      <c r="Q30" s="77"/>
      <c r="R30" s="10"/>
    </row>
    <row r="31" spans="1:18" x14ac:dyDescent="0.2">
      <c r="A31" s="33"/>
      <c r="C31" s="29"/>
      <c r="F31" s="179"/>
      <c r="G31" s="184"/>
      <c r="H31" s="181"/>
      <c r="I31" s="181"/>
      <c r="J31" s="184"/>
      <c r="K31" s="204"/>
      <c r="M31" s="52"/>
      <c r="N31" s="10"/>
      <c r="O31" s="6"/>
      <c r="P31" s="10"/>
      <c r="Q31" s="77"/>
      <c r="R31" s="10"/>
    </row>
    <row r="32" spans="1:18" x14ac:dyDescent="0.2">
      <c r="A32" s="33"/>
      <c r="C32" s="29"/>
      <c r="F32" s="179"/>
      <c r="G32" s="184"/>
      <c r="H32" s="181"/>
      <c r="I32" s="181"/>
      <c r="J32" s="184"/>
      <c r="K32" s="204"/>
      <c r="M32" s="10"/>
      <c r="N32" s="10"/>
      <c r="O32" s="6"/>
      <c r="P32" s="10"/>
      <c r="Q32" s="77"/>
      <c r="R32" s="10"/>
    </row>
    <row r="33" spans="1:18" x14ac:dyDescent="0.2">
      <c r="A33" s="33"/>
      <c r="C33" s="29"/>
      <c r="F33" s="179"/>
      <c r="G33" s="184"/>
      <c r="H33" s="181"/>
      <c r="I33" s="181"/>
      <c r="J33" s="184"/>
      <c r="K33" s="204"/>
      <c r="M33" s="10"/>
      <c r="N33" s="10"/>
      <c r="O33" s="6"/>
      <c r="P33" s="10"/>
      <c r="Q33" s="77"/>
      <c r="R33" s="10"/>
    </row>
    <row r="34" spans="1:18" x14ac:dyDescent="0.2">
      <c r="A34" s="33"/>
      <c r="C34" s="29"/>
      <c r="F34" s="179"/>
      <c r="G34" s="184"/>
      <c r="H34" s="181"/>
      <c r="I34" s="181"/>
      <c r="J34" s="184"/>
      <c r="K34" s="204"/>
      <c r="M34" s="10"/>
      <c r="N34" s="10"/>
      <c r="O34" s="6"/>
      <c r="P34" s="10"/>
      <c r="Q34" s="77"/>
      <c r="R34" s="10"/>
    </row>
    <row r="35" spans="1:18" x14ac:dyDescent="0.2">
      <c r="A35" s="34"/>
      <c r="C35" s="29"/>
      <c r="F35" s="179"/>
      <c r="G35" s="184"/>
      <c r="H35" s="181"/>
      <c r="I35" s="181"/>
      <c r="J35" s="184"/>
      <c r="K35" s="204"/>
      <c r="M35" s="10"/>
      <c r="N35" s="10"/>
      <c r="O35" s="6"/>
      <c r="P35" s="10"/>
      <c r="Q35" s="77"/>
      <c r="R35" s="10"/>
    </row>
    <row r="36" spans="1:18" x14ac:dyDescent="0.2">
      <c r="A36" s="33"/>
      <c r="C36" s="29"/>
      <c r="F36" s="201"/>
      <c r="G36" s="184"/>
      <c r="H36" s="181"/>
      <c r="I36" s="181"/>
      <c r="J36" s="184"/>
      <c r="K36" s="204"/>
      <c r="M36" s="10"/>
      <c r="N36" s="10"/>
      <c r="O36" s="6"/>
      <c r="P36" s="10"/>
      <c r="Q36" s="77"/>
      <c r="R36" s="10"/>
    </row>
    <row r="37" spans="1:18" x14ac:dyDescent="0.2">
      <c r="A37" s="33"/>
      <c r="C37" s="29"/>
      <c r="F37" s="201"/>
      <c r="G37" s="184"/>
      <c r="H37" s="181"/>
      <c r="I37" s="181"/>
      <c r="J37" s="184"/>
      <c r="K37" s="204"/>
      <c r="M37" s="10"/>
      <c r="N37" s="10"/>
      <c r="O37" s="6"/>
      <c r="P37" s="10"/>
      <c r="Q37" s="77"/>
      <c r="R37" s="10"/>
    </row>
    <row r="38" spans="1:18" x14ac:dyDescent="0.2">
      <c r="A38" s="33"/>
      <c r="C38" s="29"/>
      <c r="F38" s="201"/>
      <c r="G38" s="184"/>
      <c r="H38" s="181"/>
      <c r="I38" s="181"/>
      <c r="J38" s="184"/>
      <c r="K38" s="204"/>
      <c r="M38" s="10"/>
      <c r="R38" s="10"/>
    </row>
    <row r="39" spans="1:18" x14ac:dyDescent="0.2">
      <c r="A39" s="33"/>
      <c r="C39" s="29"/>
      <c r="F39" s="201"/>
      <c r="G39" s="184"/>
      <c r="H39" s="181"/>
      <c r="I39" s="181"/>
      <c r="J39" s="184"/>
      <c r="K39" s="204"/>
      <c r="M39" s="10"/>
      <c r="R39" s="10"/>
    </row>
    <row r="40" spans="1:18" x14ac:dyDescent="0.2">
      <c r="A40" s="33"/>
      <c r="C40" s="29"/>
      <c r="F40" s="201"/>
      <c r="G40" s="184"/>
      <c r="H40" s="181"/>
      <c r="I40" s="181"/>
      <c r="J40" s="184"/>
      <c r="K40" s="204"/>
      <c r="M40" s="10"/>
      <c r="R40" s="10"/>
    </row>
    <row r="41" spans="1:18" x14ac:dyDescent="0.2">
      <c r="A41" s="33"/>
      <c r="C41" s="29"/>
      <c r="F41" s="201"/>
      <c r="G41" s="184"/>
      <c r="H41" s="181"/>
      <c r="I41" s="181"/>
      <c r="J41" s="184"/>
      <c r="K41" s="204"/>
      <c r="M41" s="10"/>
      <c r="R41" s="10"/>
    </row>
    <row r="42" spans="1:18" x14ac:dyDescent="0.2">
      <c r="A42" s="33"/>
      <c r="C42" s="29"/>
      <c r="F42" s="201"/>
      <c r="G42" s="184"/>
      <c r="H42" s="181"/>
      <c r="I42" s="181"/>
      <c r="J42" s="184"/>
      <c r="K42" s="204"/>
      <c r="M42" s="10"/>
      <c r="R42" s="10"/>
    </row>
    <row r="43" spans="1:18" x14ac:dyDescent="0.2">
      <c r="A43" s="33"/>
      <c r="F43" s="201"/>
      <c r="G43" s="184"/>
      <c r="H43" s="181"/>
      <c r="I43" s="181"/>
      <c r="J43" s="184"/>
      <c r="K43" s="204"/>
      <c r="M43" s="10"/>
      <c r="N43" s="10"/>
      <c r="O43" s="6"/>
      <c r="P43" s="10"/>
      <c r="Q43" s="77"/>
      <c r="R43" s="10"/>
    </row>
    <row r="44" spans="1:18" x14ac:dyDescent="0.2">
      <c r="A44" s="34"/>
      <c r="C44" s="29"/>
      <c r="F44" s="201"/>
      <c r="G44" s="184"/>
      <c r="H44" s="181"/>
      <c r="I44" s="181"/>
      <c r="J44" s="184"/>
      <c r="K44" s="204"/>
      <c r="M44" s="10"/>
      <c r="N44" s="10"/>
      <c r="O44" s="6"/>
      <c r="P44" s="10"/>
      <c r="Q44" s="77"/>
      <c r="R44" s="10"/>
    </row>
    <row r="45" spans="1:18" x14ac:dyDescent="0.2">
      <c r="A45" s="33"/>
      <c r="C45" s="29"/>
      <c r="F45" s="201"/>
      <c r="G45" s="184"/>
      <c r="H45" s="181"/>
      <c r="I45" s="181"/>
      <c r="J45" s="184"/>
      <c r="K45" s="215"/>
      <c r="M45" s="10"/>
      <c r="N45" s="10"/>
      <c r="O45" s="6"/>
      <c r="P45" s="10"/>
      <c r="Q45" s="77"/>
      <c r="R45" s="10"/>
    </row>
    <row r="46" spans="1:18" x14ac:dyDescent="0.2">
      <c r="A46" s="34"/>
      <c r="F46" s="201"/>
      <c r="G46" s="184"/>
      <c r="H46" s="181"/>
      <c r="I46" s="181"/>
      <c r="J46" s="184"/>
      <c r="K46" s="215"/>
      <c r="M46" s="10"/>
      <c r="N46" s="10"/>
      <c r="O46" s="6"/>
      <c r="P46" s="10"/>
      <c r="Q46" s="77"/>
      <c r="R46" s="10"/>
    </row>
    <row r="47" spans="1:18" x14ac:dyDescent="0.2">
      <c r="A47" s="33"/>
      <c r="B47" s="29"/>
      <c r="C47" s="29"/>
      <c r="F47" s="201"/>
      <c r="G47" s="184"/>
      <c r="H47" s="181"/>
      <c r="I47" s="181"/>
      <c r="J47" s="184"/>
      <c r="K47" s="215"/>
      <c r="M47" s="10"/>
      <c r="N47" s="10"/>
      <c r="O47" s="6"/>
      <c r="P47" s="10"/>
      <c r="Q47" s="77"/>
    </row>
    <row r="48" spans="1:18" x14ac:dyDescent="0.2">
      <c r="A48" s="33"/>
      <c r="B48" s="29"/>
      <c r="C48" s="29"/>
      <c r="F48" s="201"/>
      <c r="G48" s="184"/>
      <c r="H48" s="181"/>
      <c r="I48" s="181"/>
      <c r="J48" s="184"/>
      <c r="K48" s="215"/>
      <c r="M48" s="10"/>
      <c r="N48" s="10"/>
      <c r="O48" s="6"/>
      <c r="P48" s="10"/>
      <c r="Q48" s="77"/>
    </row>
    <row r="49" spans="1:11" x14ac:dyDescent="0.2">
      <c r="A49" s="33"/>
      <c r="C49" s="29"/>
      <c r="F49" s="201"/>
      <c r="G49" s="184"/>
      <c r="H49" s="181"/>
      <c r="I49" s="181"/>
      <c r="J49" s="184"/>
      <c r="K49" s="215"/>
    </row>
    <row r="50" spans="1:11" x14ac:dyDescent="0.2">
      <c r="A50" s="33"/>
      <c r="C50" s="29"/>
      <c r="F50" s="179"/>
      <c r="G50" s="184"/>
      <c r="H50" s="181"/>
      <c r="I50" s="181"/>
      <c r="J50" s="184"/>
      <c r="K50" s="215"/>
    </row>
    <row r="51" spans="1:11" x14ac:dyDescent="0.2">
      <c r="A51" s="33"/>
      <c r="C51" s="29"/>
      <c r="F51" s="179"/>
      <c r="G51" s="184"/>
      <c r="H51" s="181"/>
      <c r="I51" s="181"/>
      <c r="J51" s="184"/>
      <c r="K51" s="215"/>
    </row>
    <row r="52" spans="1:11" x14ac:dyDescent="0.2">
      <c r="A52" s="34"/>
      <c r="C52" s="29"/>
      <c r="F52" s="179"/>
      <c r="G52" s="184"/>
      <c r="H52" s="181"/>
      <c r="I52" s="181"/>
      <c r="J52" s="184"/>
      <c r="K52" s="215"/>
    </row>
    <row r="53" spans="1:11" ht="16" thickBot="1" x14ac:dyDescent="0.25">
      <c r="A53" s="33"/>
      <c r="C53" s="29"/>
      <c r="F53" s="194"/>
      <c r="G53" s="216"/>
      <c r="H53" s="217"/>
      <c r="I53" s="196"/>
      <c r="J53" s="195"/>
      <c r="K53" s="218"/>
    </row>
    <row r="54" spans="1:11" x14ac:dyDescent="0.2">
      <c r="A54" s="33"/>
      <c r="C54" s="29"/>
    </row>
    <row r="55" spans="1:11" x14ac:dyDescent="0.2">
      <c r="A55" s="33"/>
      <c r="C55" s="29"/>
    </row>
    <row r="56" spans="1:11" x14ac:dyDescent="0.2">
      <c r="A56" s="33"/>
      <c r="C56" s="29"/>
    </row>
    <row r="57" spans="1:11" x14ac:dyDescent="0.2">
      <c r="A57" s="33"/>
      <c r="C57" s="29"/>
    </row>
    <row r="58" spans="1:11" x14ac:dyDescent="0.2">
      <c r="A58" s="33"/>
      <c r="C58" s="29"/>
    </row>
    <row r="59" spans="1:11" x14ac:dyDescent="0.2">
      <c r="A59" s="33"/>
      <c r="C59" s="29"/>
    </row>
    <row r="60" spans="1:11" x14ac:dyDescent="0.2">
      <c r="A60" s="33"/>
      <c r="C60" s="29"/>
    </row>
    <row r="61" spans="1:11" x14ac:dyDescent="0.2">
      <c r="A61" s="33"/>
      <c r="C61" s="29"/>
    </row>
    <row r="62" spans="1:11" x14ac:dyDescent="0.2">
      <c r="A62" s="33"/>
      <c r="C62" s="29"/>
      <c r="G62" s="10"/>
    </row>
    <row r="63" spans="1:11" x14ac:dyDescent="0.2">
      <c r="A63" s="33"/>
      <c r="C63" s="29"/>
      <c r="G63" s="67"/>
    </row>
    <row r="64" spans="1:11" x14ac:dyDescent="0.2">
      <c r="A64" s="33"/>
      <c r="B64" s="29"/>
      <c r="C64" s="29"/>
      <c r="G64" s="41"/>
    </row>
    <row r="65" spans="1:7" x14ac:dyDescent="0.2">
      <c r="A65" s="33"/>
      <c r="C65" s="29"/>
      <c r="G65" s="41"/>
    </row>
    <row r="66" spans="1:7" x14ac:dyDescent="0.2">
      <c r="A66" s="33"/>
      <c r="C66" s="29"/>
      <c r="G66" s="41"/>
    </row>
    <row r="67" spans="1:7" x14ac:dyDescent="0.2">
      <c r="A67" s="33"/>
      <c r="C67" s="29"/>
      <c r="G67" s="41"/>
    </row>
    <row r="68" spans="1:7" x14ac:dyDescent="0.2">
      <c r="A68" s="33"/>
      <c r="C68" s="29"/>
      <c r="G68" s="41"/>
    </row>
    <row r="69" spans="1:7" x14ac:dyDescent="0.2">
      <c r="A69" s="33"/>
      <c r="C69" s="29"/>
      <c r="G69" s="41"/>
    </row>
    <row r="70" spans="1:7" x14ac:dyDescent="0.2">
      <c r="A70" s="33"/>
      <c r="C70" s="29"/>
      <c r="G70" s="41"/>
    </row>
    <row r="71" spans="1:7" x14ac:dyDescent="0.2">
      <c r="A71" s="34"/>
      <c r="C71" s="29"/>
      <c r="G71" s="41"/>
    </row>
    <row r="72" spans="1:7" x14ac:dyDescent="0.2">
      <c r="A72" s="33"/>
    </row>
    <row r="73" spans="1:7" x14ac:dyDescent="0.2">
      <c r="A73" s="34"/>
      <c r="C73" s="29"/>
    </row>
    <row r="74" spans="1:7" x14ac:dyDescent="0.2">
      <c r="A74" s="34"/>
      <c r="B74" s="29"/>
      <c r="C74" s="29"/>
    </row>
    <row r="75" spans="1:7" x14ac:dyDescent="0.2">
      <c r="A75" s="34"/>
      <c r="B75" s="29"/>
      <c r="C75" s="29"/>
    </row>
    <row r="76" spans="1:7" x14ac:dyDescent="0.2">
      <c r="A76" s="34"/>
      <c r="B76" s="29"/>
      <c r="C76" s="29"/>
    </row>
    <row r="77" spans="1:7" x14ac:dyDescent="0.2">
      <c r="A77" s="34"/>
      <c r="B77" s="29"/>
      <c r="C77" s="29"/>
    </row>
    <row r="78" spans="1:7" x14ac:dyDescent="0.2">
      <c r="A78" s="34"/>
      <c r="C78" s="29"/>
    </row>
    <row r="79" spans="1:7" x14ac:dyDescent="0.2">
      <c r="A79" s="34"/>
      <c r="B79" s="29"/>
      <c r="C79" s="29"/>
    </row>
    <row r="80" spans="1:7" x14ac:dyDescent="0.2">
      <c r="A80" s="34"/>
      <c r="B80" s="29"/>
    </row>
    <row r="81" spans="1:3" x14ac:dyDescent="0.2">
      <c r="A81" s="34"/>
      <c r="B81" s="29"/>
    </row>
    <row r="82" spans="1:3" x14ac:dyDescent="0.2">
      <c r="A82" s="34"/>
      <c r="B82" s="29"/>
    </row>
    <row r="83" spans="1:3" x14ac:dyDescent="0.2">
      <c r="A83" s="34"/>
      <c r="B83" s="29"/>
    </row>
    <row r="84" spans="1:3" x14ac:dyDescent="0.2">
      <c r="A84" s="34"/>
      <c r="B84" s="29"/>
      <c r="C84" s="29"/>
    </row>
    <row r="85" spans="1:3" x14ac:dyDescent="0.2">
      <c r="A85" s="34"/>
      <c r="B85" s="29"/>
    </row>
    <row r="86" spans="1:3" x14ac:dyDescent="0.2">
      <c r="A86" s="34"/>
      <c r="B86" s="29"/>
    </row>
    <row r="87" spans="1:3" x14ac:dyDescent="0.2">
      <c r="A87" s="34"/>
      <c r="B87" s="29"/>
    </row>
    <row r="88" spans="1:3" x14ac:dyDescent="0.2">
      <c r="A88" s="34"/>
      <c r="B88" s="29"/>
    </row>
    <row r="89" spans="1:3" x14ac:dyDescent="0.2">
      <c r="A89" s="34"/>
      <c r="B89" s="29"/>
    </row>
    <row r="90" spans="1:3" x14ac:dyDescent="0.2">
      <c r="A90" s="34"/>
      <c r="B90" s="29"/>
    </row>
    <row r="91" spans="1:3" x14ac:dyDescent="0.2">
      <c r="A91" s="34"/>
      <c r="B91" s="29"/>
    </row>
    <row r="92" spans="1:3" x14ac:dyDescent="0.2">
      <c r="A92" s="34"/>
      <c r="B92" s="29"/>
    </row>
    <row r="93" spans="1:3" x14ac:dyDescent="0.2">
      <c r="A93" s="34"/>
      <c r="B93" s="29"/>
    </row>
    <row r="94" spans="1:3" x14ac:dyDescent="0.2">
      <c r="A94" s="34"/>
      <c r="B94" s="29"/>
    </row>
    <row r="95" spans="1:3" x14ac:dyDescent="0.2">
      <c r="A95" s="34"/>
      <c r="B95" s="29"/>
    </row>
    <row r="96" spans="1:3" x14ac:dyDescent="0.2">
      <c r="A96" s="34"/>
      <c r="B96" s="29"/>
    </row>
    <row r="97" spans="1:2" x14ac:dyDescent="0.2">
      <c r="A97" s="34"/>
      <c r="B97" s="29"/>
    </row>
    <row r="98" spans="1:2" x14ac:dyDescent="0.2">
      <c r="A98" s="34"/>
      <c r="B98" s="29"/>
    </row>
    <row r="99" spans="1:2" x14ac:dyDescent="0.2">
      <c r="A99" s="34"/>
      <c r="B99" s="29"/>
    </row>
    <row r="100" spans="1:2" x14ac:dyDescent="0.2">
      <c r="A100" s="34"/>
      <c r="B100" s="29"/>
    </row>
    <row r="101" spans="1:2" x14ac:dyDescent="0.2">
      <c r="A101" s="34"/>
      <c r="B101" s="29"/>
    </row>
    <row r="102" spans="1:2" x14ac:dyDescent="0.2">
      <c r="A102" s="34"/>
    </row>
    <row r="103" spans="1:2" x14ac:dyDescent="0.2">
      <c r="A103" s="34"/>
    </row>
    <row r="104" spans="1:2" x14ac:dyDescent="0.2">
      <c r="A104" s="34"/>
    </row>
    <row r="105" spans="1:2" x14ac:dyDescent="0.2">
      <c r="A105" s="34"/>
    </row>
    <row r="106" spans="1:2" x14ac:dyDescent="0.2">
      <c r="A106" s="34"/>
    </row>
    <row r="107" spans="1:2" x14ac:dyDescent="0.2">
      <c r="A107" s="34"/>
    </row>
    <row r="108" spans="1:2" x14ac:dyDescent="0.2">
      <c r="A108" s="34"/>
    </row>
    <row r="109" spans="1:2" x14ac:dyDescent="0.2">
      <c r="A109" s="34"/>
    </row>
    <row r="110" spans="1:2" x14ac:dyDescent="0.2">
      <c r="A110" s="34"/>
    </row>
    <row r="111" spans="1:2" x14ac:dyDescent="0.2">
      <c r="A111" s="34"/>
    </row>
    <row r="112" spans="1:2" x14ac:dyDescent="0.2">
      <c r="A112" s="34"/>
    </row>
    <row r="113" spans="1:1" x14ac:dyDescent="0.2">
      <c r="A113" s="34"/>
    </row>
    <row r="114" spans="1:1" x14ac:dyDescent="0.2">
      <c r="A114" s="34"/>
    </row>
    <row r="115" spans="1:1" x14ac:dyDescent="0.2">
      <c r="A115" s="34"/>
    </row>
    <row r="116" spans="1:1" x14ac:dyDescent="0.2">
      <c r="A116" s="34"/>
    </row>
    <row r="117" spans="1:1" x14ac:dyDescent="0.2">
      <c r="A117" s="34"/>
    </row>
    <row r="118" spans="1:1" x14ac:dyDescent="0.2">
      <c r="A118" s="34"/>
    </row>
    <row r="119" spans="1:1" x14ac:dyDescent="0.2">
      <c r="A119" s="34"/>
    </row>
    <row r="120" spans="1:1" x14ac:dyDescent="0.2">
      <c r="A120" s="34"/>
    </row>
    <row r="121" spans="1:1" x14ac:dyDescent="0.2">
      <c r="A121" s="34"/>
    </row>
    <row r="122" spans="1:1" x14ac:dyDescent="0.2">
      <c r="A122" s="34"/>
    </row>
    <row r="123" spans="1:1" x14ac:dyDescent="0.2">
      <c r="A123" s="34"/>
    </row>
    <row r="124" spans="1:1" x14ac:dyDescent="0.2">
      <c r="A124" s="34"/>
    </row>
    <row r="125" spans="1:1" x14ac:dyDescent="0.2">
      <c r="A125" s="34"/>
    </row>
    <row r="126" spans="1:1" x14ac:dyDescent="0.2">
      <c r="A126" s="34"/>
    </row>
    <row r="127" spans="1:1" x14ac:dyDescent="0.2">
      <c r="A127" s="34"/>
    </row>
    <row r="128" spans="1:1" x14ac:dyDescent="0.2">
      <c r="A128" s="34"/>
    </row>
    <row r="129" spans="1:3" x14ac:dyDescent="0.2">
      <c r="A129" s="34"/>
    </row>
    <row r="130" spans="1:3" x14ac:dyDescent="0.2">
      <c r="A130" s="34"/>
    </row>
    <row r="131" spans="1:3" x14ac:dyDescent="0.2">
      <c r="A131" s="34"/>
      <c r="B131" s="29"/>
      <c r="C131" s="29"/>
    </row>
    <row r="132" spans="1:3" x14ac:dyDescent="0.2">
      <c r="A132" s="34"/>
    </row>
    <row r="133" spans="1:3" x14ac:dyDescent="0.2">
      <c r="A133" s="34"/>
    </row>
    <row r="134" spans="1:3" x14ac:dyDescent="0.2">
      <c r="A134" s="34"/>
    </row>
    <row r="135" spans="1:3" x14ac:dyDescent="0.2">
      <c r="A135" s="34"/>
    </row>
    <row r="136" spans="1:3" x14ac:dyDescent="0.2">
      <c r="A136" s="34"/>
    </row>
    <row r="137" spans="1:3" x14ac:dyDescent="0.2">
      <c r="A137" s="34"/>
    </row>
    <row r="138" spans="1:3" x14ac:dyDescent="0.2">
      <c r="A138" s="34"/>
    </row>
    <row r="139" spans="1:3" x14ac:dyDescent="0.2">
      <c r="A139" s="34"/>
    </row>
    <row r="140" spans="1:3" x14ac:dyDescent="0.2">
      <c r="A140" s="34"/>
    </row>
    <row r="141" spans="1:3" x14ac:dyDescent="0.2">
      <c r="A141" s="34"/>
    </row>
    <row r="142" spans="1:3" x14ac:dyDescent="0.2">
      <c r="A142" s="34"/>
    </row>
    <row r="143" spans="1:3" x14ac:dyDescent="0.2">
      <c r="A143" s="34"/>
    </row>
    <row r="144" spans="1:3" x14ac:dyDescent="0.2">
      <c r="A144" s="34"/>
    </row>
    <row r="145" spans="1:1" x14ac:dyDescent="0.2">
      <c r="A145" s="34"/>
    </row>
    <row r="146" spans="1:1" x14ac:dyDescent="0.2">
      <c r="A146" s="34"/>
    </row>
    <row r="147" spans="1:1" x14ac:dyDescent="0.2">
      <c r="A147" s="34"/>
    </row>
    <row r="148" spans="1:1" x14ac:dyDescent="0.2">
      <c r="A148" s="34"/>
    </row>
    <row r="149" spans="1:1" x14ac:dyDescent="0.2">
      <c r="A149" s="34"/>
    </row>
    <row r="150" spans="1:1" x14ac:dyDescent="0.2">
      <c r="A150" s="34"/>
    </row>
    <row r="151" spans="1:1" x14ac:dyDescent="0.2">
      <c r="A151" s="34"/>
    </row>
    <row r="152" spans="1:1" x14ac:dyDescent="0.2">
      <c r="A152" s="34"/>
    </row>
    <row r="153" spans="1:1" x14ac:dyDescent="0.2">
      <c r="A153" s="34"/>
    </row>
    <row r="154" spans="1:1" x14ac:dyDescent="0.2">
      <c r="A154" s="34"/>
    </row>
    <row r="155" spans="1:1" x14ac:dyDescent="0.2">
      <c r="A155" s="34"/>
    </row>
    <row r="156" spans="1:1" x14ac:dyDescent="0.2">
      <c r="A156" s="34"/>
    </row>
    <row r="157" spans="1:1" x14ac:dyDescent="0.2">
      <c r="A157" s="34"/>
    </row>
    <row r="158" spans="1:1" x14ac:dyDescent="0.2">
      <c r="A158" s="34"/>
    </row>
    <row r="159" spans="1:1" x14ac:dyDescent="0.2">
      <c r="A159" s="34"/>
    </row>
    <row r="160" spans="1:1" x14ac:dyDescent="0.2">
      <c r="A160" s="34"/>
    </row>
    <row r="161" spans="1:1" x14ac:dyDescent="0.2">
      <c r="A161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CalcExp">
                <anchor moveWithCells="1" sizeWithCells="1">
                  <from>
                    <xdr:col>4</xdr:col>
                    <xdr:colOff>0</xdr:colOff>
                    <xdr:row>1</xdr:row>
                    <xdr:rowOff>25400</xdr:rowOff>
                  </from>
                  <to>
                    <xdr:col>4</xdr:col>
                    <xdr:colOff>584200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EF648-A825-480F-BC53-40BA81054C92}">
  <sheetPr codeName="Sheet5"/>
  <dimension ref="A1:R161"/>
  <sheetViews>
    <sheetView zoomScale="120" zoomScaleNormal="120" workbookViewId="0">
      <selection activeCell="D3" sqref="D3"/>
    </sheetView>
  </sheetViews>
  <sheetFormatPr baseColWidth="10" defaultColWidth="8.83203125" defaultRowHeight="15" x14ac:dyDescent="0.2"/>
  <cols>
    <col min="1" max="1" width="10.6640625" style="35" customWidth="1"/>
    <col min="2" max="2" width="10.6640625" style="28" bestFit="1" customWidth="1"/>
    <col min="3" max="3" width="14" style="28" customWidth="1"/>
    <col min="4" max="4" width="11.5" style="226" customWidth="1"/>
    <col min="5" max="5" width="8.83203125" style="72"/>
    <col min="6" max="6" width="15" customWidth="1"/>
    <col min="7" max="7" width="11.5" bestFit="1" customWidth="1"/>
    <col min="8" max="9" width="11.5" style="3" customWidth="1"/>
    <col min="10" max="10" width="24.6640625" customWidth="1"/>
    <col min="11" max="11" width="11" customWidth="1"/>
    <col min="13" max="13" width="15.33203125" customWidth="1"/>
    <col min="14" max="14" width="15.5" customWidth="1"/>
    <col min="15" max="15" width="11.5" style="3" customWidth="1"/>
    <col min="16" max="16" width="11.5" customWidth="1"/>
    <col min="17" max="17" width="16.5" style="72" customWidth="1"/>
    <col min="18" max="18" width="10.6640625" bestFit="1" customWidth="1"/>
  </cols>
  <sheetData>
    <row r="1" spans="1:18" ht="16" thickBot="1" x14ac:dyDescent="0.25">
      <c r="A1" s="31" t="s">
        <v>0</v>
      </c>
      <c r="B1" s="32" t="s">
        <v>1</v>
      </c>
      <c r="C1" s="32" t="s">
        <v>199</v>
      </c>
      <c r="D1" s="226" t="s">
        <v>3</v>
      </c>
      <c r="E1" s="238" t="s">
        <v>198</v>
      </c>
      <c r="F1" s="162" t="s">
        <v>23</v>
      </c>
      <c r="G1" s="162"/>
      <c r="H1" s="163" t="s">
        <v>6</v>
      </c>
      <c r="I1" s="164" t="s">
        <v>7</v>
      </c>
      <c r="J1" s="165"/>
      <c r="K1" s="162"/>
      <c r="M1" s="1" t="s">
        <v>4</v>
      </c>
      <c r="N1" s="1" t="s">
        <v>5</v>
      </c>
      <c r="O1" s="27" t="s">
        <v>6</v>
      </c>
      <c r="P1" s="24" t="s">
        <v>7</v>
      </c>
      <c r="Q1" s="68" t="s">
        <v>8</v>
      </c>
      <c r="R1" s="1" t="s">
        <v>0</v>
      </c>
    </row>
    <row r="2" spans="1:18" x14ac:dyDescent="0.2">
      <c r="A2" s="34">
        <v>43389</v>
      </c>
      <c r="B2" s="221" t="s">
        <v>203</v>
      </c>
      <c r="C2" s="221" t="s">
        <v>196</v>
      </c>
      <c r="D2" s="226">
        <v>2000</v>
      </c>
      <c r="E2" s="72">
        <v>73</v>
      </c>
      <c r="F2" s="171" t="s">
        <v>20</v>
      </c>
      <c r="G2" s="172"/>
      <c r="H2" s="173"/>
      <c r="I2" s="173"/>
      <c r="J2" s="174"/>
      <c r="K2" s="175" t="s">
        <v>24</v>
      </c>
      <c r="M2" t="s">
        <v>16</v>
      </c>
      <c r="N2" t="s">
        <v>17</v>
      </c>
      <c r="O2" s="26">
        <v>0</v>
      </c>
      <c r="P2" s="25">
        <f>H53</f>
        <v>0</v>
      </c>
      <c r="Q2" s="69" t="s">
        <v>18</v>
      </c>
    </row>
    <row r="3" spans="1:18" x14ac:dyDescent="0.2">
      <c r="A3" s="34"/>
      <c r="B3" s="221"/>
      <c r="C3" s="221"/>
      <c r="F3" s="201"/>
      <c r="G3" s="15" t="s">
        <v>25</v>
      </c>
      <c r="H3" s="11">
        <v>0</v>
      </c>
      <c r="I3" s="181"/>
      <c r="J3" s="182" t="s">
        <v>140</v>
      </c>
      <c r="K3" s="183"/>
      <c r="N3" t="s">
        <v>19</v>
      </c>
      <c r="O3" s="26">
        <v>0</v>
      </c>
      <c r="P3" s="25">
        <f>H15</f>
        <v>0</v>
      </c>
      <c r="Q3" s="69" t="s">
        <v>20</v>
      </c>
    </row>
    <row r="4" spans="1:18" x14ac:dyDescent="0.2">
      <c r="A4" s="34"/>
      <c r="B4" s="221"/>
      <c r="C4" s="222"/>
      <c r="F4" s="201"/>
      <c r="G4" s="184"/>
      <c r="H4" s="181"/>
      <c r="I4" s="181"/>
      <c r="J4" s="182" t="s">
        <v>26</v>
      </c>
      <c r="K4" s="183"/>
      <c r="N4" t="s">
        <v>51</v>
      </c>
      <c r="O4" s="26">
        <v>0</v>
      </c>
      <c r="P4" s="25">
        <f>O24</f>
        <v>0</v>
      </c>
      <c r="Q4" s="70" t="s">
        <v>45</v>
      </c>
    </row>
    <row r="5" spans="1:18" x14ac:dyDescent="0.2">
      <c r="A5" s="34"/>
      <c r="B5" s="221"/>
      <c r="C5" s="221"/>
      <c r="F5" s="179"/>
      <c r="G5" s="184"/>
      <c r="H5" s="181"/>
      <c r="I5" s="181"/>
      <c r="J5" s="16" t="s">
        <v>68</v>
      </c>
      <c r="K5" s="183"/>
      <c r="N5" t="s">
        <v>90</v>
      </c>
      <c r="O5" s="26">
        <v>0</v>
      </c>
      <c r="P5" s="25">
        <v>0</v>
      </c>
      <c r="Q5" s="69" t="s">
        <v>84</v>
      </c>
      <c r="R5" s="4"/>
    </row>
    <row r="6" spans="1:18" x14ac:dyDescent="0.2">
      <c r="A6" s="34"/>
      <c r="B6" s="221"/>
      <c r="C6" s="222"/>
      <c r="F6" s="179"/>
      <c r="G6" s="184"/>
      <c r="H6" s="181"/>
      <c r="I6" s="181"/>
      <c r="J6" s="182" t="s">
        <v>27</v>
      </c>
      <c r="K6" s="183"/>
      <c r="N6" t="s">
        <v>196</v>
      </c>
      <c r="O6" s="236">
        <v>2000</v>
      </c>
      <c r="P6" s="240">
        <v>0</v>
      </c>
      <c r="Q6" s="10" t="s">
        <v>197</v>
      </c>
      <c r="R6" s="4"/>
    </row>
    <row r="7" spans="1:18" x14ac:dyDescent="0.2">
      <c r="A7" s="34"/>
      <c r="B7" s="221"/>
      <c r="C7" s="222"/>
      <c r="F7" s="179"/>
      <c r="G7" s="184"/>
      <c r="H7" s="181"/>
      <c r="I7" s="181"/>
      <c r="J7" s="182" t="s">
        <v>28</v>
      </c>
      <c r="K7" s="183"/>
      <c r="O7" s="26"/>
      <c r="P7" s="240">
        <v>19.989999999999998</v>
      </c>
      <c r="Q7" s="239" t="s">
        <v>200</v>
      </c>
      <c r="R7" s="4" t="s">
        <v>206</v>
      </c>
    </row>
    <row r="8" spans="1:18" x14ac:dyDescent="0.2">
      <c r="A8" s="34"/>
      <c r="B8" s="221"/>
      <c r="C8" s="221"/>
      <c r="F8" s="179"/>
      <c r="G8" s="184"/>
      <c r="H8" s="181"/>
      <c r="I8" s="181"/>
      <c r="J8" s="182" t="s">
        <v>29</v>
      </c>
      <c r="K8" s="183"/>
      <c r="O8" s="26"/>
      <c r="P8" s="39">
        <f>SUM(O2:P6)</f>
        <v>2000</v>
      </c>
      <c r="Q8" s="71" t="s">
        <v>15</v>
      </c>
      <c r="R8" s="4"/>
    </row>
    <row r="9" spans="1:18" x14ac:dyDescent="0.2">
      <c r="A9" s="34"/>
      <c r="B9" s="221"/>
      <c r="C9" s="221"/>
      <c r="F9" s="179"/>
      <c r="G9" s="184"/>
      <c r="H9" s="181"/>
      <c r="I9" s="181"/>
      <c r="J9" s="16" t="s">
        <v>30</v>
      </c>
      <c r="K9" s="183"/>
      <c r="O9" s="43"/>
      <c r="P9" s="43"/>
      <c r="Q9" s="69"/>
    </row>
    <row r="10" spans="1:18" x14ac:dyDescent="0.2">
      <c r="A10" s="34"/>
      <c r="B10" s="221"/>
      <c r="C10" s="222"/>
      <c r="F10" s="237"/>
      <c r="G10" s="184"/>
      <c r="H10" s="181"/>
      <c r="I10" s="181"/>
      <c r="J10" s="193" t="s">
        <v>31</v>
      </c>
      <c r="K10" s="183"/>
    </row>
    <row r="11" spans="1:18" x14ac:dyDescent="0.2">
      <c r="A11" s="34"/>
      <c r="B11" s="221"/>
      <c r="C11" s="222"/>
      <c r="F11" s="179"/>
      <c r="G11" s="184"/>
      <c r="H11" s="181"/>
      <c r="I11" s="181"/>
      <c r="J11" s="193" t="s">
        <v>32</v>
      </c>
      <c r="K11" s="183"/>
    </row>
    <row r="12" spans="1:18" x14ac:dyDescent="0.2">
      <c r="A12" s="34"/>
      <c r="B12" s="29"/>
      <c r="C12" s="29"/>
      <c r="F12" s="179"/>
      <c r="G12" s="184"/>
      <c r="H12" s="181"/>
      <c r="I12" s="181"/>
      <c r="J12" s="62" t="s">
        <v>195</v>
      </c>
      <c r="K12" s="183"/>
    </row>
    <row r="13" spans="1:18" x14ac:dyDescent="0.2">
      <c r="A13" s="34"/>
      <c r="F13" s="179"/>
      <c r="G13" s="184"/>
      <c r="H13" s="181"/>
      <c r="I13" s="181"/>
      <c r="J13" s="16" t="s">
        <v>33</v>
      </c>
      <c r="K13" s="183"/>
    </row>
    <row r="14" spans="1:18" x14ac:dyDescent="0.2">
      <c r="A14" s="34"/>
      <c r="C14" s="29"/>
      <c r="F14" s="179"/>
      <c r="G14" s="184"/>
      <c r="H14" s="181"/>
      <c r="I14" s="181"/>
      <c r="J14" s="184"/>
      <c r="K14" s="183"/>
    </row>
    <row r="15" spans="1:18" ht="16" thickBot="1" x14ac:dyDescent="0.25">
      <c r="A15" s="34"/>
      <c r="C15" s="29"/>
      <c r="F15" s="179"/>
      <c r="G15" s="184"/>
      <c r="H15" s="181"/>
      <c r="I15" s="181"/>
      <c r="J15" s="193"/>
      <c r="K15" s="183"/>
    </row>
    <row r="16" spans="1:18" x14ac:dyDescent="0.2">
      <c r="A16" s="34"/>
      <c r="C16" s="29"/>
      <c r="F16" s="179"/>
      <c r="G16" s="184"/>
      <c r="H16" s="203"/>
      <c r="I16" s="181"/>
      <c r="J16" s="184"/>
      <c r="K16" s="183"/>
      <c r="M16" s="22" t="s">
        <v>43</v>
      </c>
      <c r="N16" s="7"/>
      <c r="O16" s="36"/>
      <c r="P16" s="36"/>
      <c r="Q16" s="73" t="s">
        <v>17</v>
      </c>
      <c r="R16" s="51"/>
    </row>
    <row r="17" spans="1:18" x14ac:dyDescent="0.2">
      <c r="A17" s="33"/>
      <c r="C17" s="29"/>
      <c r="F17" s="201"/>
      <c r="G17" s="202"/>
      <c r="H17" s="203"/>
      <c r="I17" s="181"/>
      <c r="J17" s="184"/>
      <c r="K17" s="183"/>
      <c r="M17" s="9"/>
      <c r="N17" s="10"/>
      <c r="O17" s="11"/>
      <c r="P17" s="11"/>
      <c r="Q17" s="74"/>
      <c r="R17" s="12"/>
    </row>
    <row r="18" spans="1:18" x14ac:dyDescent="0.2">
      <c r="A18" s="34"/>
      <c r="B18" s="29"/>
      <c r="C18" s="29"/>
      <c r="F18" s="201"/>
      <c r="G18" s="184"/>
      <c r="H18" s="203"/>
      <c r="I18" s="181"/>
      <c r="J18" s="16" t="s">
        <v>184</v>
      </c>
      <c r="K18" s="183"/>
      <c r="M18" s="9"/>
      <c r="N18" s="10"/>
      <c r="O18" s="11"/>
      <c r="P18" s="11"/>
      <c r="Q18" s="74"/>
      <c r="R18" s="12"/>
    </row>
    <row r="19" spans="1:18" ht="16" thickBot="1" x14ac:dyDescent="0.25">
      <c r="A19" s="33"/>
      <c r="C19" s="29"/>
      <c r="F19" s="234"/>
      <c r="G19" s="195" t="s">
        <v>15</v>
      </c>
      <c r="H19" s="217">
        <f>SUM(I2:I19)</f>
        <v>0</v>
      </c>
      <c r="I19" s="196"/>
      <c r="J19" s="195"/>
      <c r="K19" s="183">
        <f>SUM(K3:K18)</f>
        <v>0</v>
      </c>
      <c r="M19" s="9"/>
      <c r="N19" s="10"/>
      <c r="O19" s="11"/>
      <c r="P19" s="11"/>
      <c r="Q19" s="74"/>
      <c r="R19" s="12"/>
    </row>
    <row r="20" spans="1:18" x14ac:dyDescent="0.2">
      <c r="A20" s="33"/>
      <c r="B20" s="29"/>
      <c r="C20" s="29"/>
      <c r="F20" s="22" t="s">
        <v>44</v>
      </c>
      <c r="G20" s="7" t="s">
        <v>15</v>
      </c>
      <c r="H20" s="36"/>
      <c r="I20" s="36"/>
      <c r="J20" s="7" t="s">
        <v>17</v>
      </c>
      <c r="K20" s="8"/>
      <c r="M20" s="14"/>
      <c r="N20" s="10"/>
      <c r="O20" s="11"/>
      <c r="P20" s="11"/>
      <c r="Q20" s="74"/>
      <c r="R20" s="12"/>
    </row>
    <row r="21" spans="1:18" x14ac:dyDescent="0.2">
      <c r="A21" s="34"/>
      <c r="C21" s="29"/>
      <c r="F21" s="201"/>
      <c r="G21" s="184"/>
      <c r="H21" s="181"/>
      <c r="I21" s="181"/>
      <c r="J21" s="184"/>
      <c r="K21" s="204"/>
      <c r="M21" s="14"/>
      <c r="N21" s="10"/>
      <c r="O21" s="11"/>
      <c r="P21" s="11"/>
      <c r="Q21" s="74"/>
      <c r="R21" s="12"/>
    </row>
    <row r="22" spans="1:18" x14ac:dyDescent="0.2">
      <c r="A22" s="33"/>
      <c r="C22" s="29"/>
      <c r="F22" s="201"/>
      <c r="G22" s="184"/>
      <c r="H22" s="181"/>
      <c r="I22" s="181"/>
      <c r="J22" s="184"/>
      <c r="K22" s="204"/>
      <c r="M22" s="14"/>
      <c r="N22" s="10"/>
      <c r="O22" s="11"/>
      <c r="P22" s="11"/>
      <c r="Q22" s="74"/>
      <c r="R22" s="12"/>
    </row>
    <row r="23" spans="1:18" x14ac:dyDescent="0.2">
      <c r="A23" s="33"/>
      <c r="C23" s="29"/>
      <c r="F23" s="201"/>
      <c r="G23" s="184"/>
      <c r="H23" s="181"/>
      <c r="I23" s="181"/>
      <c r="J23" s="184"/>
      <c r="K23" s="204"/>
      <c r="M23" s="14"/>
      <c r="N23" s="10"/>
      <c r="O23" s="11"/>
      <c r="P23" s="11"/>
      <c r="Q23" s="74"/>
      <c r="R23" s="12"/>
    </row>
    <row r="24" spans="1:18" ht="16" thickBot="1" x14ac:dyDescent="0.25">
      <c r="A24" s="33"/>
      <c r="F24" s="201"/>
      <c r="G24" s="184"/>
      <c r="H24" s="181"/>
      <c r="I24" s="181"/>
      <c r="J24" s="184"/>
      <c r="K24" s="204"/>
      <c r="M24" s="19"/>
      <c r="N24" s="13" t="s">
        <v>15</v>
      </c>
      <c r="O24" s="37">
        <f>SUM(O16:P23)</f>
        <v>0</v>
      </c>
      <c r="P24" s="37"/>
      <c r="Q24" s="75"/>
      <c r="R24" s="20"/>
    </row>
    <row r="25" spans="1:18" x14ac:dyDescent="0.2">
      <c r="A25" s="33"/>
      <c r="C25" s="29"/>
      <c r="F25" s="179"/>
      <c r="G25" s="184"/>
      <c r="H25" s="181"/>
      <c r="I25" s="181"/>
      <c r="J25" s="184"/>
      <c r="K25" s="204"/>
      <c r="M25" s="15"/>
      <c r="N25" s="15"/>
      <c r="O25" s="45"/>
      <c r="P25" s="45"/>
      <c r="Q25" s="76"/>
      <c r="R25" s="44"/>
    </row>
    <row r="26" spans="1:18" x14ac:dyDescent="0.2">
      <c r="A26" s="33"/>
      <c r="C26" s="29"/>
      <c r="F26" s="179"/>
      <c r="G26" s="184"/>
      <c r="H26" s="181"/>
      <c r="I26" s="181"/>
      <c r="J26" s="184"/>
      <c r="K26" s="204"/>
      <c r="M26" s="15"/>
      <c r="N26" s="42"/>
      <c r="O26" s="45"/>
      <c r="P26" s="45"/>
      <c r="Q26" s="76"/>
      <c r="R26" s="10"/>
    </row>
    <row r="27" spans="1:18" x14ac:dyDescent="0.2">
      <c r="A27" s="33"/>
      <c r="C27" s="29"/>
      <c r="F27" s="179"/>
      <c r="G27" s="184"/>
      <c r="H27" s="181"/>
      <c r="I27" s="181"/>
      <c r="J27" s="184"/>
      <c r="K27" s="204"/>
      <c r="M27" s="10"/>
      <c r="N27" s="10"/>
      <c r="O27" s="43"/>
      <c r="P27" s="43"/>
      <c r="Q27" s="77"/>
      <c r="R27" s="10"/>
    </row>
    <row r="28" spans="1:18" x14ac:dyDescent="0.2">
      <c r="A28" s="33"/>
      <c r="C28" s="29"/>
      <c r="F28" s="179"/>
      <c r="G28" s="184"/>
      <c r="H28" s="181"/>
      <c r="I28" s="181"/>
      <c r="J28" s="184"/>
      <c r="K28" s="204"/>
      <c r="M28" s="60"/>
      <c r="N28" s="10"/>
      <c r="O28" s="6"/>
      <c r="P28" s="10"/>
      <c r="Q28" s="77"/>
      <c r="R28" s="10"/>
    </row>
    <row r="29" spans="1:18" x14ac:dyDescent="0.2">
      <c r="A29" s="33"/>
      <c r="C29" s="29"/>
      <c r="F29" s="201"/>
      <c r="G29" s="184"/>
      <c r="H29" s="181"/>
      <c r="I29" s="181"/>
      <c r="J29" s="184"/>
      <c r="K29" s="204"/>
      <c r="M29" s="10"/>
      <c r="N29" s="10"/>
      <c r="O29" s="6"/>
      <c r="P29" s="10"/>
      <c r="Q29" s="77"/>
      <c r="R29" s="10"/>
    </row>
    <row r="30" spans="1:18" x14ac:dyDescent="0.2">
      <c r="A30" s="33"/>
      <c r="C30" s="29"/>
      <c r="F30" s="179"/>
      <c r="G30" s="184"/>
      <c r="H30" s="181"/>
      <c r="I30" s="181"/>
      <c r="J30" s="184"/>
      <c r="K30" s="204"/>
      <c r="M30" s="10"/>
      <c r="N30" s="10"/>
      <c r="O30" s="6"/>
      <c r="P30" s="10"/>
      <c r="Q30" s="77"/>
      <c r="R30" s="10"/>
    </row>
    <row r="31" spans="1:18" x14ac:dyDescent="0.2">
      <c r="A31" s="33"/>
      <c r="C31" s="29"/>
      <c r="F31" s="179"/>
      <c r="G31" s="184"/>
      <c r="H31" s="181"/>
      <c r="I31" s="181"/>
      <c r="J31" s="184"/>
      <c r="K31" s="204"/>
      <c r="M31" s="52"/>
      <c r="N31" s="10"/>
      <c r="O31" s="6"/>
      <c r="P31" s="10"/>
      <c r="Q31" s="77"/>
      <c r="R31" s="10"/>
    </row>
    <row r="32" spans="1:18" x14ac:dyDescent="0.2">
      <c r="A32" s="33"/>
      <c r="C32" s="29"/>
      <c r="F32" s="179"/>
      <c r="G32" s="184"/>
      <c r="H32" s="181"/>
      <c r="I32" s="181"/>
      <c r="J32" s="184"/>
      <c r="K32" s="204"/>
      <c r="M32" s="10"/>
      <c r="N32" s="10"/>
      <c r="O32" s="6"/>
      <c r="P32" s="10"/>
      <c r="Q32" s="77"/>
      <c r="R32" s="10"/>
    </row>
    <row r="33" spans="1:18" x14ac:dyDescent="0.2">
      <c r="A33" s="33"/>
      <c r="C33" s="29"/>
      <c r="F33" s="179"/>
      <c r="G33" s="184"/>
      <c r="H33" s="181"/>
      <c r="I33" s="181"/>
      <c r="J33" s="184"/>
      <c r="K33" s="204"/>
      <c r="M33" s="10"/>
      <c r="N33" s="10"/>
      <c r="O33" s="6"/>
      <c r="P33" s="10"/>
      <c r="Q33" s="77"/>
      <c r="R33" s="10"/>
    </row>
    <row r="34" spans="1:18" x14ac:dyDescent="0.2">
      <c r="A34" s="33"/>
      <c r="C34" s="29"/>
      <c r="F34" s="179"/>
      <c r="G34" s="184"/>
      <c r="H34" s="181"/>
      <c r="I34" s="181"/>
      <c r="J34" s="184"/>
      <c r="K34" s="204"/>
      <c r="M34" s="10"/>
      <c r="N34" s="10"/>
      <c r="O34" s="6"/>
      <c r="P34" s="10"/>
      <c r="Q34" s="77"/>
      <c r="R34" s="10"/>
    </row>
    <row r="35" spans="1:18" x14ac:dyDescent="0.2">
      <c r="A35" s="34"/>
      <c r="C35" s="29"/>
      <c r="F35" s="179"/>
      <c r="G35" s="184"/>
      <c r="H35" s="181"/>
      <c r="I35" s="181"/>
      <c r="J35" s="184"/>
      <c r="K35" s="204"/>
      <c r="M35" s="10"/>
      <c r="N35" s="10"/>
      <c r="O35" s="6"/>
      <c r="P35" s="10"/>
      <c r="Q35" s="77"/>
      <c r="R35" s="10"/>
    </row>
    <row r="36" spans="1:18" x14ac:dyDescent="0.2">
      <c r="A36" s="33"/>
      <c r="C36" s="29"/>
      <c r="F36" s="201"/>
      <c r="G36" s="184"/>
      <c r="H36" s="181"/>
      <c r="I36" s="181"/>
      <c r="J36" s="184"/>
      <c r="K36" s="204"/>
      <c r="M36" s="10"/>
      <c r="N36" s="10"/>
      <c r="O36" s="6"/>
      <c r="P36" s="10"/>
      <c r="Q36" s="77"/>
      <c r="R36" s="10"/>
    </row>
    <row r="37" spans="1:18" x14ac:dyDescent="0.2">
      <c r="A37" s="33"/>
      <c r="C37" s="29"/>
      <c r="F37" s="201"/>
      <c r="G37" s="184"/>
      <c r="H37" s="181"/>
      <c r="I37" s="181"/>
      <c r="J37" s="184"/>
      <c r="K37" s="204"/>
      <c r="M37" s="10"/>
      <c r="N37" s="10"/>
      <c r="O37" s="6"/>
      <c r="P37" s="10"/>
      <c r="Q37" s="77"/>
      <c r="R37" s="10"/>
    </row>
    <row r="38" spans="1:18" x14ac:dyDescent="0.2">
      <c r="A38" s="33"/>
      <c r="C38" s="29"/>
      <c r="F38" s="201"/>
      <c r="G38" s="184"/>
      <c r="H38" s="181"/>
      <c r="I38" s="181"/>
      <c r="J38" s="184"/>
      <c r="K38" s="204"/>
      <c r="M38" s="10"/>
      <c r="R38" s="10"/>
    </row>
    <row r="39" spans="1:18" x14ac:dyDescent="0.2">
      <c r="A39" s="33"/>
      <c r="C39" s="29"/>
      <c r="F39" s="201"/>
      <c r="G39" s="184"/>
      <c r="H39" s="181"/>
      <c r="I39" s="181"/>
      <c r="J39" s="184"/>
      <c r="K39" s="204"/>
      <c r="M39" s="10"/>
      <c r="R39" s="10"/>
    </row>
    <row r="40" spans="1:18" x14ac:dyDescent="0.2">
      <c r="A40" s="33"/>
      <c r="C40" s="29"/>
      <c r="F40" s="201"/>
      <c r="G40" s="184"/>
      <c r="H40" s="181"/>
      <c r="I40" s="181"/>
      <c r="J40" s="184"/>
      <c r="K40" s="204"/>
      <c r="M40" s="10"/>
      <c r="R40" s="10"/>
    </row>
    <row r="41" spans="1:18" x14ac:dyDescent="0.2">
      <c r="A41" s="33"/>
      <c r="C41" s="29"/>
      <c r="F41" s="201"/>
      <c r="G41" s="184"/>
      <c r="H41" s="181"/>
      <c r="I41" s="181"/>
      <c r="J41" s="184"/>
      <c r="K41" s="204"/>
      <c r="M41" s="10"/>
      <c r="R41" s="10"/>
    </row>
    <row r="42" spans="1:18" x14ac:dyDescent="0.2">
      <c r="A42" s="33"/>
      <c r="C42" s="29"/>
      <c r="F42" s="201"/>
      <c r="G42" s="184"/>
      <c r="H42" s="181"/>
      <c r="I42" s="181"/>
      <c r="J42" s="184"/>
      <c r="K42" s="204"/>
      <c r="M42" s="10"/>
      <c r="R42" s="10"/>
    </row>
    <row r="43" spans="1:18" x14ac:dyDescent="0.2">
      <c r="A43" s="33"/>
      <c r="F43" s="201"/>
      <c r="G43" s="184"/>
      <c r="H43" s="181"/>
      <c r="I43" s="181"/>
      <c r="J43" s="184"/>
      <c r="K43" s="204"/>
      <c r="M43" s="10"/>
      <c r="N43" s="10"/>
      <c r="O43" s="6"/>
      <c r="P43" s="10"/>
      <c r="Q43" s="77"/>
      <c r="R43" s="10"/>
    </row>
    <row r="44" spans="1:18" x14ac:dyDescent="0.2">
      <c r="A44" s="34"/>
      <c r="C44" s="29"/>
      <c r="F44" s="201"/>
      <c r="G44" s="184"/>
      <c r="H44" s="181"/>
      <c r="I44" s="181"/>
      <c r="J44" s="184"/>
      <c r="K44" s="204"/>
      <c r="M44" s="10"/>
      <c r="N44" s="10"/>
      <c r="O44" s="6"/>
      <c r="P44" s="10"/>
      <c r="Q44" s="77"/>
      <c r="R44" s="10"/>
    </row>
    <row r="45" spans="1:18" x14ac:dyDescent="0.2">
      <c r="A45" s="33"/>
      <c r="C45" s="29"/>
      <c r="F45" s="201"/>
      <c r="G45" s="184"/>
      <c r="H45" s="181"/>
      <c r="I45" s="181"/>
      <c r="J45" s="184"/>
      <c r="K45" s="215"/>
      <c r="M45" s="10"/>
      <c r="N45" s="10"/>
      <c r="O45" s="6"/>
      <c r="P45" s="10"/>
      <c r="Q45" s="77"/>
      <c r="R45" s="10"/>
    </row>
    <row r="46" spans="1:18" x14ac:dyDescent="0.2">
      <c r="A46" s="34"/>
      <c r="F46" s="201"/>
      <c r="G46" s="184"/>
      <c r="H46" s="181"/>
      <c r="I46" s="181"/>
      <c r="J46" s="184"/>
      <c r="K46" s="215"/>
      <c r="M46" s="10"/>
      <c r="N46" s="10"/>
      <c r="O46" s="6"/>
      <c r="P46" s="10"/>
      <c r="Q46" s="77"/>
      <c r="R46" s="10"/>
    </row>
    <row r="47" spans="1:18" x14ac:dyDescent="0.2">
      <c r="A47" s="33"/>
      <c r="B47" s="29"/>
      <c r="C47" s="29"/>
      <c r="F47" s="201"/>
      <c r="G47" s="184"/>
      <c r="H47" s="181"/>
      <c r="I47" s="181"/>
      <c r="J47" s="184"/>
      <c r="K47" s="215"/>
      <c r="M47" s="10"/>
      <c r="N47" s="10"/>
      <c r="O47" s="6"/>
      <c r="P47" s="10"/>
      <c r="Q47" s="77"/>
    </row>
    <row r="48" spans="1:18" x14ac:dyDescent="0.2">
      <c r="A48" s="33"/>
      <c r="B48" s="29"/>
      <c r="C48" s="29"/>
      <c r="F48" s="201"/>
      <c r="G48" s="184"/>
      <c r="H48" s="181"/>
      <c r="I48" s="181"/>
      <c r="J48" s="184"/>
      <c r="K48" s="215"/>
      <c r="M48" s="10"/>
      <c r="N48" s="10"/>
      <c r="O48" s="6"/>
      <c r="P48" s="10"/>
      <c r="Q48" s="77"/>
    </row>
    <row r="49" spans="1:11" x14ac:dyDescent="0.2">
      <c r="A49" s="33"/>
      <c r="C49" s="29"/>
      <c r="F49" s="201"/>
      <c r="G49" s="184"/>
      <c r="H49" s="181"/>
      <c r="I49" s="181"/>
      <c r="J49" s="184"/>
      <c r="K49" s="215"/>
    </row>
    <row r="50" spans="1:11" x14ac:dyDescent="0.2">
      <c r="A50" s="33"/>
      <c r="C50" s="29"/>
      <c r="F50" s="179"/>
      <c r="G50" s="184"/>
      <c r="H50" s="181"/>
      <c r="I50" s="181"/>
      <c r="J50" s="184"/>
      <c r="K50" s="215"/>
    </row>
    <row r="51" spans="1:11" x14ac:dyDescent="0.2">
      <c r="A51" s="33"/>
      <c r="C51" s="29"/>
      <c r="F51" s="179"/>
      <c r="G51" s="184"/>
      <c r="H51" s="181"/>
      <c r="I51" s="181"/>
      <c r="J51" s="184"/>
      <c r="K51" s="215"/>
    </row>
    <row r="52" spans="1:11" x14ac:dyDescent="0.2">
      <c r="A52" s="34"/>
      <c r="C52" s="29"/>
      <c r="F52" s="179"/>
      <c r="G52" s="184"/>
      <c r="H52" s="181"/>
      <c r="I52" s="181"/>
      <c r="J52" s="184"/>
      <c r="K52" s="215"/>
    </row>
    <row r="53" spans="1:11" ht="16" thickBot="1" x14ac:dyDescent="0.25">
      <c r="A53" s="33"/>
      <c r="C53" s="29"/>
      <c r="F53" s="194"/>
      <c r="G53" s="216"/>
      <c r="H53" s="217"/>
      <c r="I53" s="196"/>
      <c r="J53" s="195"/>
      <c r="K53" s="218"/>
    </row>
    <row r="54" spans="1:11" x14ac:dyDescent="0.2">
      <c r="A54" s="33"/>
      <c r="C54" s="29"/>
    </row>
    <row r="55" spans="1:11" x14ac:dyDescent="0.2">
      <c r="A55" s="33"/>
      <c r="C55" s="29"/>
    </row>
    <row r="56" spans="1:11" x14ac:dyDescent="0.2">
      <c r="A56" s="33"/>
      <c r="C56" s="29"/>
    </row>
    <row r="57" spans="1:11" x14ac:dyDescent="0.2">
      <c r="A57" s="33"/>
      <c r="C57" s="29"/>
    </row>
    <row r="58" spans="1:11" x14ac:dyDescent="0.2">
      <c r="A58" s="33"/>
      <c r="C58" s="29"/>
    </row>
    <row r="59" spans="1:11" x14ac:dyDescent="0.2">
      <c r="A59" s="33"/>
      <c r="C59" s="29"/>
    </row>
    <row r="60" spans="1:11" x14ac:dyDescent="0.2">
      <c r="A60" s="33"/>
      <c r="C60" s="29"/>
    </row>
    <row r="61" spans="1:11" x14ac:dyDescent="0.2">
      <c r="A61" s="33"/>
      <c r="C61" s="29"/>
    </row>
    <row r="62" spans="1:11" x14ac:dyDescent="0.2">
      <c r="A62" s="33"/>
      <c r="C62" s="29"/>
      <c r="G62" s="10"/>
    </row>
    <row r="63" spans="1:11" x14ac:dyDescent="0.2">
      <c r="A63" s="33"/>
      <c r="C63" s="29"/>
      <c r="G63" s="67"/>
    </row>
    <row r="64" spans="1:11" x14ac:dyDescent="0.2">
      <c r="A64" s="33"/>
      <c r="B64" s="29"/>
      <c r="C64" s="29"/>
      <c r="G64" s="41"/>
    </row>
    <row r="65" spans="1:7" x14ac:dyDescent="0.2">
      <c r="A65" s="33"/>
      <c r="C65" s="29"/>
      <c r="G65" s="41"/>
    </row>
    <row r="66" spans="1:7" x14ac:dyDescent="0.2">
      <c r="A66" s="33"/>
      <c r="C66" s="29"/>
      <c r="G66" s="41"/>
    </row>
    <row r="67" spans="1:7" x14ac:dyDescent="0.2">
      <c r="A67" s="33"/>
      <c r="C67" s="29"/>
      <c r="G67" s="41"/>
    </row>
    <row r="68" spans="1:7" x14ac:dyDescent="0.2">
      <c r="A68" s="33"/>
      <c r="C68" s="29"/>
      <c r="G68" s="41"/>
    </row>
    <row r="69" spans="1:7" x14ac:dyDescent="0.2">
      <c r="A69" s="33"/>
      <c r="C69" s="29"/>
      <c r="G69" s="41"/>
    </row>
    <row r="70" spans="1:7" x14ac:dyDescent="0.2">
      <c r="A70" s="33"/>
      <c r="C70" s="29"/>
      <c r="G70" s="41"/>
    </row>
    <row r="71" spans="1:7" x14ac:dyDescent="0.2">
      <c r="A71" s="34"/>
      <c r="C71" s="29"/>
      <c r="G71" s="41"/>
    </row>
    <row r="72" spans="1:7" x14ac:dyDescent="0.2">
      <c r="A72" s="33"/>
    </row>
    <row r="73" spans="1:7" x14ac:dyDescent="0.2">
      <c r="A73" s="34"/>
      <c r="C73" s="29"/>
    </row>
    <row r="74" spans="1:7" x14ac:dyDescent="0.2">
      <c r="A74" s="34"/>
      <c r="B74" s="29"/>
      <c r="C74" s="29"/>
    </row>
    <row r="75" spans="1:7" x14ac:dyDescent="0.2">
      <c r="A75" s="34"/>
      <c r="B75" s="29"/>
      <c r="C75" s="29"/>
    </row>
    <row r="76" spans="1:7" x14ac:dyDescent="0.2">
      <c r="A76" s="34"/>
      <c r="B76" s="29"/>
      <c r="C76" s="29"/>
    </row>
    <row r="77" spans="1:7" x14ac:dyDescent="0.2">
      <c r="A77" s="34"/>
      <c r="B77" s="29"/>
      <c r="C77" s="29"/>
    </row>
    <row r="78" spans="1:7" x14ac:dyDescent="0.2">
      <c r="A78" s="34"/>
      <c r="C78" s="29"/>
    </row>
    <row r="79" spans="1:7" x14ac:dyDescent="0.2">
      <c r="A79" s="34"/>
      <c r="B79" s="29"/>
      <c r="C79" s="29"/>
    </row>
    <row r="80" spans="1:7" x14ac:dyDescent="0.2">
      <c r="A80" s="34"/>
      <c r="B80" s="29"/>
    </row>
    <row r="81" spans="1:3" x14ac:dyDescent="0.2">
      <c r="A81" s="34"/>
      <c r="B81" s="29"/>
    </row>
    <row r="82" spans="1:3" x14ac:dyDescent="0.2">
      <c r="A82" s="34"/>
      <c r="B82" s="29"/>
    </row>
    <row r="83" spans="1:3" x14ac:dyDescent="0.2">
      <c r="A83" s="34"/>
      <c r="B83" s="29"/>
    </row>
    <row r="84" spans="1:3" x14ac:dyDescent="0.2">
      <c r="A84" s="34"/>
      <c r="B84" s="29"/>
      <c r="C84" s="29"/>
    </row>
    <row r="85" spans="1:3" x14ac:dyDescent="0.2">
      <c r="A85" s="34"/>
      <c r="B85" s="29"/>
    </row>
    <row r="86" spans="1:3" x14ac:dyDescent="0.2">
      <c r="A86" s="34"/>
      <c r="B86" s="29"/>
    </row>
    <row r="87" spans="1:3" x14ac:dyDescent="0.2">
      <c r="A87" s="34"/>
      <c r="B87" s="29"/>
    </row>
    <row r="88" spans="1:3" x14ac:dyDescent="0.2">
      <c r="A88" s="34"/>
      <c r="B88" s="29"/>
    </row>
    <row r="89" spans="1:3" x14ac:dyDescent="0.2">
      <c r="A89" s="34"/>
      <c r="B89" s="29"/>
    </row>
    <row r="90" spans="1:3" x14ac:dyDescent="0.2">
      <c r="A90" s="34"/>
      <c r="B90" s="29"/>
    </row>
    <row r="91" spans="1:3" x14ac:dyDescent="0.2">
      <c r="A91" s="34"/>
      <c r="B91" s="29"/>
    </row>
    <row r="92" spans="1:3" x14ac:dyDescent="0.2">
      <c r="A92" s="34"/>
      <c r="B92" s="29"/>
    </row>
    <row r="93" spans="1:3" x14ac:dyDescent="0.2">
      <c r="A93" s="34"/>
      <c r="B93" s="29"/>
    </row>
    <row r="94" spans="1:3" x14ac:dyDescent="0.2">
      <c r="A94" s="34"/>
      <c r="B94" s="29"/>
    </row>
    <row r="95" spans="1:3" x14ac:dyDescent="0.2">
      <c r="A95" s="34"/>
      <c r="B95" s="29"/>
    </row>
    <row r="96" spans="1:3" x14ac:dyDescent="0.2">
      <c r="A96" s="34"/>
      <c r="B96" s="29"/>
    </row>
    <row r="97" spans="1:2" x14ac:dyDescent="0.2">
      <c r="A97" s="34"/>
      <c r="B97" s="29"/>
    </row>
    <row r="98" spans="1:2" x14ac:dyDescent="0.2">
      <c r="A98" s="34"/>
      <c r="B98" s="29"/>
    </row>
    <row r="99" spans="1:2" x14ac:dyDescent="0.2">
      <c r="A99" s="34"/>
      <c r="B99" s="29"/>
    </row>
    <row r="100" spans="1:2" x14ac:dyDescent="0.2">
      <c r="A100" s="34"/>
      <c r="B100" s="29"/>
    </row>
    <row r="101" spans="1:2" x14ac:dyDescent="0.2">
      <c r="A101" s="34"/>
      <c r="B101" s="29"/>
    </row>
    <row r="102" spans="1:2" x14ac:dyDescent="0.2">
      <c r="A102" s="34"/>
    </row>
    <row r="103" spans="1:2" x14ac:dyDescent="0.2">
      <c r="A103" s="34"/>
    </row>
    <row r="104" spans="1:2" x14ac:dyDescent="0.2">
      <c r="A104" s="34"/>
    </row>
    <row r="105" spans="1:2" x14ac:dyDescent="0.2">
      <c r="A105" s="34"/>
    </row>
    <row r="106" spans="1:2" x14ac:dyDescent="0.2">
      <c r="A106" s="34"/>
    </row>
    <row r="107" spans="1:2" x14ac:dyDescent="0.2">
      <c r="A107" s="34"/>
    </row>
    <row r="108" spans="1:2" x14ac:dyDescent="0.2">
      <c r="A108" s="34"/>
    </row>
    <row r="109" spans="1:2" x14ac:dyDescent="0.2">
      <c r="A109" s="34"/>
    </row>
    <row r="110" spans="1:2" x14ac:dyDescent="0.2">
      <c r="A110" s="34"/>
    </row>
    <row r="111" spans="1:2" x14ac:dyDescent="0.2">
      <c r="A111" s="34"/>
    </row>
    <row r="112" spans="1:2" x14ac:dyDescent="0.2">
      <c r="A112" s="34"/>
    </row>
    <row r="113" spans="1:1" x14ac:dyDescent="0.2">
      <c r="A113" s="34"/>
    </row>
    <row r="114" spans="1:1" x14ac:dyDescent="0.2">
      <c r="A114" s="34"/>
    </row>
    <row r="115" spans="1:1" x14ac:dyDescent="0.2">
      <c r="A115" s="34"/>
    </row>
    <row r="116" spans="1:1" x14ac:dyDescent="0.2">
      <c r="A116" s="34"/>
    </row>
    <row r="117" spans="1:1" x14ac:dyDescent="0.2">
      <c r="A117" s="34"/>
    </row>
    <row r="118" spans="1:1" x14ac:dyDescent="0.2">
      <c r="A118" s="34"/>
    </row>
    <row r="119" spans="1:1" x14ac:dyDescent="0.2">
      <c r="A119" s="34"/>
    </row>
    <row r="120" spans="1:1" x14ac:dyDescent="0.2">
      <c r="A120" s="34"/>
    </row>
    <row r="121" spans="1:1" x14ac:dyDescent="0.2">
      <c r="A121" s="34"/>
    </row>
    <row r="122" spans="1:1" x14ac:dyDescent="0.2">
      <c r="A122" s="34"/>
    </row>
    <row r="123" spans="1:1" x14ac:dyDescent="0.2">
      <c r="A123" s="34"/>
    </row>
    <row r="124" spans="1:1" x14ac:dyDescent="0.2">
      <c r="A124" s="34"/>
    </row>
    <row r="125" spans="1:1" x14ac:dyDescent="0.2">
      <c r="A125" s="34"/>
    </row>
    <row r="126" spans="1:1" x14ac:dyDescent="0.2">
      <c r="A126" s="34"/>
    </row>
    <row r="127" spans="1:1" x14ac:dyDescent="0.2">
      <c r="A127" s="34"/>
    </row>
    <row r="128" spans="1:1" x14ac:dyDescent="0.2">
      <c r="A128" s="34"/>
    </row>
    <row r="129" spans="1:3" x14ac:dyDescent="0.2">
      <c r="A129" s="34"/>
    </row>
    <row r="130" spans="1:3" x14ac:dyDescent="0.2">
      <c r="A130" s="34"/>
    </row>
    <row r="131" spans="1:3" x14ac:dyDescent="0.2">
      <c r="A131" s="34"/>
      <c r="B131" s="29"/>
      <c r="C131" s="29"/>
    </row>
    <row r="132" spans="1:3" x14ac:dyDescent="0.2">
      <c r="A132" s="34"/>
    </row>
    <row r="133" spans="1:3" x14ac:dyDescent="0.2">
      <c r="A133" s="34"/>
    </row>
    <row r="134" spans="1:3" x14ac:dyDescent="0.2">
      <c r="A134" s="34"/>
    </row>
    <row r="135" spans="1:3" x14ac:dyDescent="0.2">
      <c r="A135" s="34"/>
    </row>
    <row r="136" spans="1:3" x14ac:dyDescent="0.2">
      <c r="A136" s="34"/>
    </row>
    <row r="137" spans="1:3" x14ac:dyDescent="0.2">
      <c r="A137" s="34"/>
    </row>
    <row r="138" spans="1:3" x14ac:dyDescent="0.2">
      <c r="A138" s="34"/>
    </row>
    <row r="139" spans="1:3" x14ac:dyDescent="0.2">
      <c r="A139" s="34"/>
    </row>
    <row r="140" spans="1:3" x14ac:dyDescent="0.2">
      <c r="A140" s="34"/>
    </row>
    <row r="141" spans="1:3" x14ac:dyDescent="0.2">
      <c r="A141" s="34"/>
    </row>
    <row r="142" spans="1:3" x14ac:dyDescent="0.2">
      <c r="A142" s="34"/>
    </row>
    <row r="143" spans="1:3" x14ac:dyDescent="0.2">
      <c r="A143" s="34"/>
    </row>
    <row r="144" spans="1:3" x14ac:dyDescent="0.2">
      <c r="A144" s="34"/>
    </row>
    <row r="145" spans="1:1" x14ac:dyDescent="0.2">
      <c r="A145" s="34"/>
    </row>
    <row r="146" spans="1:1" x14ac:dyDescent="0.2">
      <c r="A146" s="34"/>
    </row>
    <row r="147" spans="1:1" x14ac:dyDescent="0.2">
      <c r="A147" s="34"/>
    </row>
    <row r="148" spans="1:1" x14ac:dyDescent="0.2">
      <c r="A148" s="34"/>
    </row>
    <row r="149" spans="1:1" x14ac:dyDescent="0.2">
      <c r="A149" s="34"/>
    </row>
    <row r="150" spans="1:1" x14ac:dyDescent="0.2">
      <c r="A150" s="34"/>
    </row>
    <row r="151" spans="1:1" x14ac:dyDescent="0.2">
      <c r="A151" s="34"/>
    </row>
    <row r="152" spans="1:1" x14ac:dyDescent="0.2">
      <c r="A152" s="34"/>
    </row>
    <row r="153" spans="1:1" x14ac:dyDescent="0.2">
      <c r="A153" s="34"/>
    </row>
    <row r="154" spans="1:1" x14ac:dyDescent="0.2">
      <c r="A154" s="34"/>
    </row>
    <row r="155" spans="1:1" x14ac:dyDescent="0.2">
      <c r="A155" s="34"/>
    </row>
    <row r="156" spans="1:1" x14ac:dyDescent="0.2">
      <c r="A156" s="34"/>
    </row>
    <row r="157" spans="1:1" x14ac:dyDescent="0.2">
      <c r="A157" s="34"/>
    </row>
    <row r="158" spans="1:1" x14ac:dyDescent="0.2">
      <c r="A158" s="34"/>
    </row>
    <row r="159" spans="1:1" x14ac:dyDescent="0.2">
      <c r="A159" s="34"/>
    </row>
    <row r="160" spans="1:1" x14ac:dyDescent="0.2">
      <c r="A160" s="34"/>
    </row>
    <row r="161" spans="1:1" x14ac:dyDescent="0.2">
      <c r="A161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CalcExp">
                <anchor moveWithCells="1" sizeWithCells="1">
                  <from>
                    <xdr:col>5</xdr:col>
                    <xdr:colOff>152400</xdr:colOff>
                    <xdr:row>1</xdr:row>
                    <xdr:rowOff>177800</xdr:rowOff>
                  </from>
                  <to>
                    <xdr:col>5</xdr:col>
                    <xdr:colOff>736600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R161"/>
  <sheetViews>
    <sheetView zoomScale="120" zoomScaleNormal="120" workbookViewId="0">
      <selection activeCell="O3" sqref="O3"/>
    </sheetView>
  </sheetViews>
  <sheetFormatPr baseColWidth="10" defaultColWidth="8.83203125" defaultRowHeight="15" x14ac:dyDescent="0.2"/>
  <cols>
    <col min="1" max="1" width="10.6640625" style="35" customWidth="1"/>
    <col min="2" max="2" width="23.33203125" style="28" customWidth="1"/>
    <col min="3" max="3" width="14" style="28" customWidth="1"/>
    <col min="4" max="4" width="11.5" style="30" customWidth="1"/>
    <col min="6" max="6" width="15" customWidth="1"/>
    <col min="7" max="7" width="11.5" bestFit="1" customWidth="1"/>
    <col min="8" max="9" width="11.5" style="3" customWidth="1"/>
    <col min="10" max="10" width="24.6640625" customWidth="1"/>
    <col min="11" max="11" width="11" customWidth="1"/>
    <col min="13" max="13" width="15.33203125" customWidth="1"/>
    <col min="14" max="14" width="15.5" customWidth="1"/>
    <col min="15" max="15" width="11.5" style="3" customWidth="1"/>
    <col min="16" max="16" width="11.5" customWidth="1"/>
    <col min="17" max="17" width="16.5" style="72" customWidth="1"/>
    <col min="18" max="18" width="10.6640625" bestFit="1" customWidth="1"/>
  </cols>
  <sheetData>
    <row r="1" spans="1:18" ht="16" thickBot="1" x14ac:dyDescent="0.25">
      <c r="A1" s="31" t="s">
        <v>0</v>
      </c>
      <c r="B1" s="32" t="s">
        <v>1</v>
      </c>
      <c r="C1" s="32" t="s">
        <v>2</v>
      </c>
      <c r="D1" s="40" t="s">
        <v>3</v>
      </c>
      <c r="E1" s="23"/>
      <c r="F1" s="162" t="s">
        <v>23</v>
      </c>
      <c r="G1" s="162"/>
      <c r="H1" s="163" t="s">
        <v>6</v>
      </c>
      <c r="I1" s="164" t="s">
        <v>7</v>
      </c>
      <c r="J1" s="165"/>
      <c r="K1" s="162"/>
      <c r="M1" s="1" t="s">
        <v>4</v>
      </c>
      <c r="N1" s="1" t="s">
        <v>5</v>
      </c>
      <c r="O1" s="27" t="s">
        <v>6</v>
      </c>
      <c r="P1" s="24" t="s">
        <v>7</v>
      </c>
      <c r="Q1" s="68" t="s">
        <v>8</v>
      </c>
      <c r="R1" s="1" t="s">
        <v>0</v>
      </c>
    </row>
    <row r="2" spans="1:18" x14ac:dyDescent="0.2">
      <c r="A2" s="33"/>
      <c r="F2" s="171" t="s">
        <v>20</v>
      </c>
      <c r="G2" s="172"/>
      <c r="H2" s="173"/>
      <c r="I2" s="173"/>
      <c r="J2" s="174"/>
      <c r="K2" s="175" t="s">
        <v>24</v>
      </c>
      <c r="M2" t="s">
        <v>16</v>
      </c>
      <c r="N2" t="s">
        <v>17</v>
      </c>
      <c r="O2" s="26">
        <v>2000</v>
      </c>
      <c r="P2" s="25">
        <f>H53</f>
        <v>0</v>
      </c>
      <c r="Q2" s="69" t="s">
        <v>18</v>
      </c>
    </row>
    <row r="3" spans="1:18" x14ac:dyDescent="0.2">
      <c r="A3" s="33"/>
      <c r="F3" s="201"/>
      <c r="G3" s="15" t="s">
        <v>25</v>
      </c>
      <c r="H3" s="11">
        <v>0</v>
      </c>
      <c r="I3" s="181"/>
      <c r="J3" s="182" t="s">
        <v>140</v>
      </c>
      <c r="K3" s="183"/>
      <c r="N3" t="s">
        <v>19</v>
      </c>
      <c r="O3" s="26">
        <v>0</v>
      </c>
      <c r="P3" s="25">
        <f>H15</f>
        <v>0</v>
      </c>
      <c r="Q3" s="69" t="s">
        <v>20</v>
      </c>
    </row>
    <row r="4" spans="1:18" x14ac:dyDescent="0.2">
      <c r="A4" s="33"/>
      <c r="F4" s="201"/>
      <c r="G4" s="184"/>
      <c r="H4" s="181"/>
      <c r="I4" s="181"/>
      <c r="J4" s="182" t="s">
        <v>26</v>
      </c>
      <c r="K4" s="183"/>
      <c r="N4" t="s">
        <v>51</v>
      </c>
      <c r="O4" s="26">
        <v>0</v>
      </c>
      <c r="P4" s="25">
        <f>O24</f>
        <v>0</v>
      </c>
      <c r="Q4" s="70" t="s">
        <v>45</v>
      </c>
    </row>
    <row r="5" spans="1:18" x14ac:dyDescent="0.2">
      <c r="A5" s="33"/>
      <c r="B5" s="29"/>
      <c r="C5" s="29"/>
      <c r="F5" s="179"/>
      <c r="G5" s="184"/>
      <c r="H5" s="181"/>
      <c r="I5" s="181"/>
      <c r="J5" s="16" t="s">
        <v>68</v>
      </c>
      <c r="K5" s="183"/>
      <c r="N5" t="s">
        <v>90</v>
      </c>
      <c r="O5" s="26">
        <v>0</v>
      </c>
      <c r="P5" s="25">
        <v>0</v>
      </c>
      <c r="Q5" s="69" t="s">
        <v>84</v>
      </c>
      <c r="R5" s="4"/>
    </row>
    <row r="6" spans="1:18" x14ac:dyDescent="0.2">
      <c r="A6" s="33"/>
      <c r="C6" s="29"/>
      <c r="F6" s="179"/>
      <c r="G6" s="184"/>
      <c r="H6" s="181"/>
      <c r="I6" s="181"/>
      <c r="J6" s="182" t="s">
        <v>27</v>
      </c>
      <c r="K6" s="183"/>
      <c r="O6" s="26">
        <v>0</v>
      </c>
      <c r="P6" s="25">
        <v>0</v>
      </c>
      <c r="Q6" s="69"/>
      <c r="R6" s="4"/>
    </row>
    <row r="7" spans="1:18" x14ac:dyDescent="0.2">
      <c r="A7" s="33"/>
      <c r="F7" s="179"/>
      <c r="G7" s="184"/>
      <c r="H7" s="181"/>
      <c r="I7" s="181"/>
      <c r="J7" s="182" t="s">
        <v>28</v>
      </c>
      <c r="K7" s="183"/>
      <c r="O7" s="26"/>
      <c r="P7" s="25">
        <v>0</v>
      </c>
      <c r="Q7" s="239" t="s">
        <v>200</v>
      </c>
      <c r="R7" s="4"/>
    </row>
    <row r="8" spans="1:18" x14ac:dyDescent="0.2">
      <c r="A8" s="33"/>
      <c r="B8" s="29"/>
      <c r="C8" s="29"/>
      <c r="F8" s="179"/>
      <c r="G8" s="184"/>
      <c r="H8" s="181"/>
      <c r="I8" s="181"/>
      <c r="J8" s="182" t="s">
        <v>29</v>
      </c>
      <c r="K8" s="183"/>
      <c r="O8" s="26"/>
      <c r="P8" s="39">
        <f>SUM(O2:P5)</f>
        <v>2000</v>
      </c>
      <c r="Q8" s="71" t="s">
        <v>15</v>
      </c>
      <c r="R8" s="4"/>
    </row>
    <row r="9" spans="1:18" x14ac:dyDescent="0.2">
      <c r="A9" s="33"/>
      <c r="C9" s="29"/>
      <c r="F9" s="179"/>
      <c r="G9" s="184"/>
      <c r="H9" s="181"/>
      <c r="I9" s="181"/>
      <c r="J9" s="16" t="s">
        <v>30</v>
      </c>
      <c r="K9" s="183"/>
      <c r="O9" s="43"/>
      <c r="P9" s="43"/>
      <c r="Q9" s="69"/>
    </row>
    <row r="10" spans="1:18" x14ac:dyDescent="0.2">
      <c r="A10" s="34"/>
      <c r="C10" s="29"/>
      <c r="F10" s="179"/>
      <c r="G10" s="184"/>
      <c r="H10" s="181"/>
      <c r="I10" s="181"/>
      <c r="J10" s="193" t="s">
        <v>31</v>
      </c>
      <c r="K10" s="183"/>
    </row>
    <row r="11" spans="1:18" x14ac:dyDescent="0.2">
      <c r="A11" s="33"/>
      <c r="C11" s="29"/>
      <c r="F11" s="179"/>
      <c r="G11" s="184"/>
      <c r="H11" s="181"/>
      <c r="I11" s="181"/>
      <c r="J11" s="193" t="s">
        <v>32</v>
      </c>
      <c r="K11" s="183"/>
    </row>
    <row r="12" spans="1:18" x14ac:dyDescent="0.2">
      <c r="A12" s="34"/>
      <c r="B12" s="29"/>
      <c r="C12" s="29"/>
      <c r="F12" s="179"/>
      <c r="G12" s="184"/>
      <c r="H12" s="181"/>
      <c r="I12" s="181"/>
      <c r="J12" s="62" t="s">
        <v>195</v>
      </c>
      <c r="K12" s="183"/>
    </row>
    <row r="13" spans="1:18" x14ac:dyDescent="0.2">
      <c r="A13" s="33"/>
      <c r="F13" s="179"/>
      <c r="G13" s="184"/>
      <c r="H13" s="181"/>
      <c r="I13" s="181"/>
      <c r="J13" s="16" t="s">
        <v>33</v>
      </c>
      <c r="K13" s="183"/>
    </row>
    <row r="14" spans="1:18" x14ac:dyDescent="0.2">
      <c r="A14" s="33"/>
      <c r="C14" s="29"/>
      <c r="F14" s="179"/>
      <c r="G14" s="184"/>
      <c r="H14" s="181"/>
      <c r="I14" s="181"/>
      <c r="J14" s="184"/>
      <c r="K14" s="183"/>
    </row>
    <row r="15" spans="1:18" ht="16" thickBot="1" x14ac:dyDescent="0.25">
      <c r="A15" s="33"/>
      <c r="C15" s="29"/>
      <c r="F15" s="179"/>
      <c r="G15" s="184"/>
      <c r="H15" s="181"/>
      <c r="I15" s="181"/>
      <c r="J15" s="193"/>
      <c r="K15" s="183"/>
    </row>
    <row r="16" spans="1:18" x14ac:dyDescent="0.2">
      <c r="A16" s="34"/>
      <c r="C16" s="29"/>
      <c r="F16" s="179"/>
      <c r="G16" s="184"/>
      <c r="H16" s="203"/>
      <c r="I16" s="181"/>
      <c r="J16" s="184"/>
      <c r="K16" s="183"/>
      <c r="M16" s="22" t="s">
        <v>43</v>
      </c>
      <c r="N16" s="7"/>
      <c r="O16" s="36"/>
      <c r="P16" s="36"/>
      <c r="Q16" s="73" t="s">
        <v>17</v>
      </c>
      <c r="R16" s="51"/>
    </row>
    <row r="17" spans="1:18" x14ac:dyDescent="0.2">
      <c r="A17" s="33"/>
      <c r="C17" s="29"/>
      <c r="F17" s="201"/>
      <c r="G17" s="202"/>
      <c r="H17" s="203"/>
      <c r="I17" s="181"/>
      <c r="J17" s="184"/>
      <c r="K17" s="183"/>
      <c r="M17" s="9"/>
      <c r="N17" s="10"/>
      <c r="O17" s="11"/>
      <c r="P17" s="11"/>
      <c r="Q17" s="74"/>
      <c r="R17" s="12"/>
    </row>
    <row r="18" spans="1:18" x14ac:dyDescent="0.2">
      <c r="A18" s="34"/>
      <c r="B18" s="29"/>
      <c r="C18" s="29"/>
      <c r="F18" s="201"/>
      <c r="G18" s="184"/>
      <c r="H18" s="203"/>
      <c r="I18" s="181"/>
      <c r="J18" s="16" t="s">
        <v>184</v>
      </c>
      <c r="K18" s="183"/>
      <c r="M18" s="9"/>
      <c r="N18" s="10"/>
      <c r="O18" s="11"/>
      <c r="P18" s="11"/>
      <c r="Q18" s="74"/>
      <c r="R18" s="12"/>
    </row>
    <row r="19" spans="1:18" ht="16" thickBot="1" x14ac:dyDescent="0.25">
      <c r="A19" s="33"/>
      <c r="C19" s="29"/>
      <c r="F19" s="234"/>
      <c r="G19" s="195" t="s">
        <v>15</v>
      </c>
      <c r="H19" s="217">
        <f>SUM(I2:I19)</f>
        <v>0</v>
      </c>
      <c r="I19" s="196"/>
      <c r="J19" s="195"/>
      <c r="K19" s="183">
        <f>SUM(K3:K18)</f>
        <v>0</v>
      </c>
      <c r="M19" s="9"/>
      <c r="N19" s="10"/>
      <c r="O19" s="11"/>
      <c r="P19" s="11"/>
      <c r="Q19" s="74"/>
      <c r="R19" s="12"/>
    </row>
    <row r="20" spans="1:18" x14ac:dyDescent="0.2">
      <c r="A20" s="33"/>
      <c r="B20" s="29"/>
      <c r="C20" s="29"/>
      <c r="F20" s="22" t="s">
        <v>44</v>
      </c>
      <c r="G20" s="7" t="s">
        <v>15</v>
      </c>
      <c r="H20" s="36"/>
      <c r="I20" s="36"/>
      <c r="J20" s="7" t="s">
        <v>17</v>
      </c>
      <c r="K20" s="8"/>
      <c r="M20" s="14"/>
      <c r="N20" s="10"/>
      <c r="O20" s="11"/>
      <c r="P20" s="11"/>
      <c r="Q20" s="74"/>
      <c r="R20" s="12"/>
    </row>
    <row r="21" spans="1:18" x14ac:dyDescent="0.2">
      <c r="A21" s="34"/>
      <c r="C21" s="29"/>
      <c r="F21" s="201"/>
      <c r="G21" s="184"/>
      <c r="H21" s="181"/>
      <c r="I21" s="181"/>
      <c r="J21" s="184"/>
      <c r="K21" s="204"/>
      <c r="M21" s="14"/>
      <c r="N21" s="10"/>
      <c r="O21" s="11"/>
      <c r="P21" s="11"/>
      <c r="Q21" s="74"/>
      <c r="R21" s="12"/>
    </row>
    <row r="22" spans="1:18" x14ac:dyDescent="0.2">
      <c r="A22" s="33"/>
      <c r="C22" s="29"/>
      <c r="F22" s="201"/>
      <c r="G22" s="184"/>
      <c r="H22" s="181"/>
      <c r="I22" s="181"/>
      <c r="J22" s="184"/>
      <c r="K22" s="204"/>
      <c r="M22" s="14"/>
      <c r="N22" s="10"/>
      <c r="O22" s="11"/>
      <c r="P22" s="11"/>
      <c r="Q22" s="74"/>
      <c r="R22" s="12"/>
    </row>
    <row r="23" spans="1:18" x14ac:dyDescent="0.2">
      <c r="A23" s="33"/>
      <c r="C23" s="29"/>
      <c r="F23" s="201"/>
      <c r="G23" s="184"/>
      <c r="H23" s="181"/>
      <c r="I23" s="181"/>
      <c r="J23" s="184"/>
      <c r="K23" s="204"/>
      <c r="M23" s="14"/>
      <c r="N23" s="10"/>
      <c r="O23" s="11"/>
      <c r="P23" s="11"/>
      <c r="Q23" s="74"/>
      <c r="R23" s="12"/>
    </row>
    <row r="24" spans="1:18" ht="16" thickBot="1" x14ac:dyDescent="0.25">
      <c r="A24" s="33"/>
      <c r="F24" s="201"/>
      <c r="G24" s="184"/>
      <c r="H24" s="181"/>
      <c r="I24" s="181"/>
      <c r="J24" s="184"/>
      <c r="K24" s="204"/>
      <c r="M24" s="19"/>
      <c r="N24" s="13" t="s">
        <v>15</v>
      </c>
      <c r="O24" s="37">
        <f>SUM(O16:P23)</f>
        <v>0</v>
      </c>
      <c r="P24" s="37"/>
      <c r="Q24" s="75"/>
      <c r="R24" s="20"/>
    </row>
    <row r="25" spans="1:18" x14ac:dyDescent="0.2">
      <c r="A25" s="33"/>
      <c r="C25" s="29"/>
      <c r="F25" s="179"/>
      <c r="G25" s="184"/>
      <c r="H25" s="181"/>
      <c r="I25" s="181"/>
      <c r="J25" s="184"/>
      <c r="K25" s="204"/>
      <c r="M25" s="15"/>
      <c r="N25" s="15"/>
      <c r="O25" s="45"/>
      <c r="P25" s="45"/>
      <c r="Q25" s="76"/>
      <c r="R25" s="44"/>
    </row>
    <row r="26" spans="1:18" x14ac:dyDescent="0.2">
      <c r="A26" s="33"/>
      <c r="C26" s="29"/>
      <c r="F26" s="179"/>
      <c r="G26" s="184"/>
      <c r="H26" s="181"/>
      <c r="I26" s="181"/>
      <c r="J26" s="184"/>
      <c r="K26" s="204"/>
      <c r="M26" s="15"/>
      <c r="N26" s="42"/>
      <c r="O26" s="45"/>
      <c r="P26" s="45"/>
      <c r="Q26" s="76"/>
      <c r="R26" s="10"/>
    </row>
    <row r="27" spans="1:18" x14ac:dyDescent="0.2">
      <c r="A27" s="33"/>
      <c r="C27" s="29"/>
      <c r="F27" s="179"/>
      <c r="G27" s="184"/>
      <c r="H27" s="181"/>
      <c r="I27" s="181"/>
      <c r="J27" s="184"/>
      <c r="K27" s="204"/>
      <c r="M27" s="10"/>
      <c r="N27" s="10"/>
      <c r="O27" s="43"/>
      <c r="P27" s="43"/>
      <c r="Q27" s="77"/>
      <c r="R27" s="10"/>
    </row>
    <row r="28" spans="1:18" x14ac:dyDescent="0.2">
      <c r="A28" s="33"/>
      <c r="C28" s="29"/>
      <c r="F28" s="179"/>
      <c r="G28" s="184"/>
      <c r="H28" s="181"/>
      <c r="I28" s="181"/>
      <c r="J28" s="184"/>
      <c r="K28" s="204"/>
      <c r="M28" s="60"/>
      <c r="N28" s="10"/>
      <c r="O28" s="6"/>
      <c r="P28" s="10"/>
      <c r="Q28" s="77"/>
      <c r="R28" s="10"/>
    </row>
    <row r="29" spans="1:18" x14ac:dyDescent="0.2">
      <c r="A29" s="33"/>
      <c r="C29" s="29"/>
      <c r="F29" s="201"/>
      <c r="G29" s="184"/>
      <c r="H29" s="181"/>
      <c r="I29" s="181"/>
      <c r="J29" s="184"/>
      <c r="K29" s="204"/>
      <c r="M29" s="10"/>
      <c r="N29" s="10"/>
      <c r="O29" s="6"/>
      <c r="P29" s="10"/>
      <c r="Q29" s="77"/>
      <c r="R29" s="10"/>
    </row>
    <row r="30" spans="1:18" x14ac:dyDescent="0.2">
      <c r="A30" s="33"/>
      <c r="C30" s="29"/>
      <c r="F30" s="179"/>
      <c r="G30" s="184"/>
      <c r="H30" s="181"/>
      <c r="I30" s="181"/>
      <c r="J30" s="184"/>
      <c r="K30" s="204"/>
      <c r="M30" s="10"/>
      <c r="N30" s="10"/>
      <c r="O30" s="6"/>
      <c r="P30" s="10"/>
      <c r="Q30" s="77"/>
      <c r="R30" s="10"/>
    </row>
    <row r="31" spans="1:18" x14ac:dyDescent="0.2">
      <c r="A31" s="33"/>
      <c r="C31" s="29"/>
      <c r="F31" s="179"/>
      <c r="G31" s="184"/>
      <c r="H31" s="181"/>
      <c r="I31" s="181"/>
      <c r="J31" s="184"/>
      <c r="K31" s="204"/>
      <c r="M31" s="52"/>
      <c r="N31" s="10"/>
      <c r="O31" s="6"/>
      <c r="P31" s="10"/>
      <c r="Q31" s="77"/>
      <c r="R31" s="10"/>
    </row>
    <row r="32" spans="1:18" x14ac:dyDescent="0.2">
      <c r="A32" s="33"/>
      <c r="C32" s="29"/>
      <c r="F32" s="179"/>
      <c r="G32" s="184"/>
      <c r="H32" s="181"/>
      <c r="I32" s="181"/>
      <c r="J32" s="184"/>
      <c r="K32" s="204"/>
      <c r="M32" s="10"/>
      <c r="N32" s="10"/>
      <c r="O32" s="6"/>
      <c r="P32" s="10"/>
      <c r="Q32" s="77"/>
      <c r="R32" s="10"/>
    </row>
    <row r="33" spans="1:18" x14ac:dyDescent="0.2">
      <c r="A33" s="33"/>
      <c r="C33" s="29"/>
      <c r="F33" s="179"/>
      <c r="G33" s="184"/>
      <c r="H33" s="181"/>
      <c r="I33" s="181"/>
      <c r="J33" s="184"/>
      <c r="K33" s="204"/>
      <c r="M33" s="10"/>
      <c r="N33" s="10"/>
      <c r="O33" s="6"/>
      <c r="P33" s="10"/>
      <c r="Q33" s="77"/>
      <c r="R33" s="10"/>
    </row>
    <row r="34" spans="1:18" x14ac:dyDescent="0.2">
      <c r="A34" s="33"/>
      <c r="C34" s="29"/>
      <c r="F34" s="179"/>
      <c r="G34" s="184"/>
      <c r="H34" s="181"/>
      <c r="I34" s="181"/>
      <c r="J34" s="184"/>
      <c r="K34" s="204"/>
      <c r="M34" s="10"/>
      <c r="N34" s="10"/>
      <c r="O34" s="6"/>
      <c r="P34" s="10"/>
      <c r="Q34" s="77"/>
      <c r="R34" s="10"/>
    </row>
    <row r="35" spans="1:18" x14ac:dyDescent="0.2">
      <c r="A35" s="34"/>
      <c r="C35" s="29"/>
      <c r="F35" s="179"/>
      <c r="G35" s="184"/>
      <c r="H35" s="181"/>
      <c r="I35" s="181"/>
      <c r="J35" s="184"/>
      <c r="K35" s="204"/>
      <c r="M35" s="10"/>
      <c r="N35" s="10"/>
      <c r="O35" s="6"/>
      <c r="P35" s="10"/>
      <c r="Q35" s="77"/>
      <c r="R35" s="10"/>
    </row>
    <row r="36" spans="1:18" x14ac:dyDescent="0.2">
      <c r="A36" s="33"/>
      <c r="C36" s="29"/>
      <c r="F36" s="201"/>
      <c r="G36" s="184"/>
      <c r="H36" s="181"/>
      <c r="I36" s="181"/>
      <c r="J36" s="184"/>
      <c r="K36" s="204"/>
      <c r="M36" s="10"/>
      <c r="N36" s="10"/>
      <c r="O36" s="6"/>
      <c r="P36" s="10"/>
      <c r="Q36" s="77"/>
      <c r="R36" s="10"/>
    </row>
    <row r="37" spans="1:18" x14ac:dyDescent="0.2">
      <c r="A37" s="33"/>
      <c r="C37" s="29"/>
      <c r="F37" s="201"/>
      <c r="G37" s="184"/>
      <c r="H37" s="181"/>
      <c r="I37" s="181"/>
      <c r="J37" s="184"/>
      <c r="K37" s="204"/>
      <c r="M37" s="10"/>
      <c r="N37" s="10"/>
      <c r="O37" s="6"/>
      <c r="P37" s="10"/>
      <c r="Q37" s="77"/>
      <c r="R37" s="10"/>
    </row>
    <row r="38" spans="1:18" x14ac:dyDescent="0.2">
      <c r="A38" s="33"/>
      <c r="C38" s="29"/>
      <c r="F38" s="201"/>
      <c r="G38" s="184"/>
      <c r="H38" s="181"/>
      <c r="I38" s="181"/>
      <c r="J38" s="184"/>
      <c r="K38" s="204"/>
      <c r="M38" s="10"/>
      <c r="R38" s="10"/>
    </row>
    <row r="39" spans="1:18" x14ac:dyDescent="0.2">
      <c r="A39" s="33"/>
      <c r="C39" s="29"/>
      <c r="F39" s="201"/>
      <c r="G39" s="184"/>
      <c r="H39" s="181"/>
      <c r="I39" s="181"/>
      <c r="J39" s="184"/>
      <c r="K39" s="204"/>
      <c r="M39" s="10"/>
      <c r="R39" s="10"/>
    </row>
    <row r="40" spans="1:18" x14ac:dyDescent="0.2">
      <c r="A40" s="33"/>
      <c r="C40" s="29"/>
      <c r="F40" s="201"/>
      <c r="G40" s="184"/>
      <c r="H40" s="181"/>
      <c r="I40" s="181"/>
      <c r="J40" s="184"/>
      <c r="K40" s="204"/>
      <c r="M40" s="10"/>
      <c r="R40" s="10"/>
    </row>
    <row r="41" spans="1:18" x14ac:dyDescent="0.2">
      <c r="A41" s="33"/>
      <c r="C41" s="29"/>
      <c r="F41" s="201"/>
      <c r="G41" s="184"/>
      <c r="H41" s="181"/>
      <c r="I41" s="181"/>
      <c r="J41" s="184"/>
      <c r="K41" s="204"/>
      <c r="M41" s="10"/>
      <c r="R41" s="10"/>
    </row>
    <row r="42" spans="1:18" x14ac:dyDescent="0.2">
      <c r="A42" s="33"/>
      <c r="C42" s="29"/>
      <c r="F42" s="201"/>
      <c r="G42" s="184"/>
      <c r="H42" s="181"/>
      <c r="I42" s="181"/>
      <c r="J42" s="184"/>
      <c r="K42" s="204"/>
      <c r="M42" s="10"/>
      <c r="R42" s="10"/>
    </row>
    <row r="43" spans="1:18" x14ac:dyDescent="0.2">
      <c r="A43" s="33"/>
      <c r="F43" s="201"/>
      <c r="G43" s="184"/>
      <c r="H43" s="181"/>
      <c r="I43" s="181"/>
      <c r="J43" s="184"/>
      <c r="K43" s="204"/>
      <c r="M43" s="10"/>
      <c r="N43" s="10"/>
      <c r="O43" s="6"/>
      <c r="P43" s="10"/>
      <c r="Q43" s="77"/>
      <c r="R43" s="10"/>
    </row>
    <row r="44" spans="1:18" x14ac:dyDescent="0.2">
      <c r="A44" s="34"/>
      <c r="C44" s="29"/>
      <c r="F44" s="201"/>
      <c r="G44" s="184"/>
      <c r="H44" s="181"/>
      <c r="I44" s="181"/>
      <c r="J44" s="184"/>
      <c r="K44" s="204"/>
      <c r="M44" s="10"/>
      <c r="N44" s="10"/>
      <c r="O44" s="6"/>
      <c r="P44" s="10"/>
      <c r="Q44" s="77"/>
      <c r="R44" s="10"/>
    </row>
    <row r="45" spans="1:18" x14ac:dyDescent="0.2">
      <c r="A45" s="33"/>
      <c r="C45" s="29"/>
      <c r="F45" s="201"/>
      <c r="G45" s="184"/>
      <c r="H45" s="181"/>
      <c r="I45" s="181"/>
      <c r="J45" s="184"/>
      <c r="K45" s="215"/>
      <c r="M45" s="10"/>
      <c r="N45" s="10"/>
      <c r="O45" s="6"/>
      <c r="P45" s="10"/>
      <c r="Q45" s="77"/>
      <c r="R45" s="10"/>
    </row>
    <row r="46" spans="1:18" x14ac:dyDescent="0.2">
      <c r="A46" s="34"/>
      <c r="F46" s="201"/>
      <c r="G46" s="184"/>
      <c r="H46" s="181"/>
      <c r="I46" s="181"/>
      <c r="J46" s="184"/>
      <c r="K46" s="215"/>
      <c r="M46" s="10"/>
      <c r="N46" s="10"/>
      <c r="O46" s="6"/>
      <c r="P46" s="10"/>
      <c r="Q46" s="77"/>
      <c r="R46" s="10"/>
    </row>
    <row r="47" spans="1:18" x14ac:dyDescent="0.2">
      <c r="A47" s="33"/>
      <c r="B47" s="29"/>
      <c r="C47" s="29"/>
      <c r="F47" s="201"/>
      <c r="G47" s="184"/>
      <c r="H47" s="181"/>
      <c r="I47" s="181"/>
      <c r="J47" s="184"/>
      <c r="K47" s="215"/>
      <c r="M47" s="10"/>
      <c r="N47" s="10"/>
      <c r="O47" s="6"/>
      <c r="P47" s="10"/>
      <c r="Q47" s="77"/>
    </row>
    <row r="48" spans="1:18" x14ac:dyDescent="0.2">
      <c r="A48" s="33"/>
      <c r="B48" s="29"/>
      <c r="C48" s="29"/>
      <c r="F48" s="201"/>
      <c r="G48" s="184"/>
      <c r="H48" s="181"/>
      <c r="I48" s="181"/>
      <c r="J48" s="184"/>
      <c r="K48" s="215"/>
      <c r="M48" s="10"/>
      <c r="N48" s="10"/>
      <c r="O48" s="6"/>
      <c r="P48" s="10"/>
      <c r="Q48" s="77"/>
    </row>
    <row r="49" spans="1:11" x14ac:dyDescent="0.2">
      <c r="A49" s="33"/>
      <c r="C49" s="29"/>
      <c r="F49" s="201"/>
      <c r="G49" s="184"/>
      <c r="H49" s="181"/>
      <c r="I49" s="181"/>
      <c r="J49" s="184"/>
      <c r="K49" s="215"/>
    </row>
    <row r="50" spans="1:11" x14ac:dyDescent="0.2">
      <c r="A50" s="33"/>
      <c r="C50" s="29"/>
      <c r="F50" s="179"/>
      <c r="G50" s="184"/>
      <c r="H50" s="181"/>
      <c r="I50" s="181"/>
      <c r="J50" s="184"/>
      <c r="K50" s="215"/>
    </row>
    <row r="51" spans="1:11" x14ac:dyDescent="0.2">
      <c r="A51" s="33"/>
      <c r="C51" s="29"/>
      <c r="F51" s="179"/>
      <c r="G51" s="184"/>
      <c r="H51" s="181"/>
      <c r="I51" s="181"/>
      <c r="J51" s="184"/>
      <c r="K51" s="215"/>
    </row>
    <row r="52" spans="1:11" x14ac:dyDescent="0.2">
      <c r="A52" s="34"/>
      <c r="C52" s="29"/>
      <c r="F52" s="179"/>
      <c r="G52" s="184"/>
      <c r="H52" s="181"/>
      <c r="I52" s="181"/>
      <c r="J52" s="184"/>
      <c r="K52" s="215"/>
    </row>
    <row r="53" spans="1:11" ht="16" thickBot="1" x14ac:dyDescent="0.25">
      <c r="A53" s="33"/>
      <c r="C53" s="29"/>
      <c r="F53" s="194"/>
      <c r="G53" s="216"/>
      <c r="H53" s="217"/>
      <c r="I53" s="196"/>
      <c r="J53" s="195"/>
      <c r="K53" s="218"/>
    </row>
    <row r="54" spans="1:11" x14ac:dyDescent="0.2">
      <c r="A54" s="33"/>
      <c r="C54" s="29"/>
    </row>
    <row r="55" spans="1:11" x14ac:dyDescent="0.2">
      <c r="A55" s="33"/>
      <c r="C55" s="29"/>
    </row>
    <row r="56" spans="1:11" x14ac:dyDescent="0.2">
      <c r="A56" s="33"/>
      <c r="C56" s="29"/>
    </row>
    <row r="57" spans="1:11" x14ac:dyDescent="0.2">
      <c r="A57" s="33"/>
      <c r="C57" s="29"/>
    </row>
    <row r="58" spans="1:11" x14ac:dyDescent="0.2">
      <c r="A58" s="33"/>
      <c r="C58" s="29"/>
    </row>
    <row r="59" spans="1:11" x14ac:dyDescent="0.2">
      <c r="A59" s="33"/>
      <c r="C59" s="29"/>
    </row>
    <row r="60" spans="1:11" x14ac:dyDescent="0.2">
      <c r="A60" s="33"/>
      <c r="C60" s="29"/>
    </row>
    <row r="61" spans="1:11" x14ac:dyDescent="0.2">
      <c r="A61" s="33"/>
      <c r="C61" s="29"/>
    </row>
    <row r="62" spans="1:11" x14ac:dyDescent="0.2">
      <c r="A62" s="33"/>
      <c r="C62" s="29"/>
      <c r="G62" s="10"/>
    </row>
    <row r="63" spans="1:11" x14ac:dyDescent="0.2">
      <c r="A63" s="33"/>
      <c r="C63" s="29"/>
      <c r="G63" s="67"/>
    </row>
    <row r="64" spans="1:11" x14ac:dyDescent="0.2">
      <c r="A64" s="33"/>
      <c r="B64" s="29"/>
      <c r="C64" s="29"/>
      <c r="G64" s="41"/>
    </row>
    <row r="65" spans="1:7" x14ac:dyDescent="0.2">
      <c r="A65" s="33"/>
      <c r="C65" s="29"/>
      <c r="G65" s="41"/>
    </row>
    <row r="66" spans="1:7" x14ac:dyDescent="0.2">
      <c r="A66" s="33"/>
      <c r="C66" s="29"/>
      <c r="G66" s="41"/>
    </row>
    <row r="67" spans="1:7" x14ac:dyDescent="0.2">
      <c r="A67" s="33"/>
      <c r="C67" s="29"/>
      <c r="G67" s="41"/>
    </row>
    <row r="68" spans="1:7" x14ac:dyDescent="0.2">
      <c r="A68" s="33"/>
      <c r="C68" s="29"/>
      <c r="G68" s="41"/>
    </row>
    <row r="69" spans="1:7" x14ac:dyDescent="0.2">
      <c r="A69" s="33"/>
      <c r="C69" s="29"/>
      <c r="G69" s="41"/>
    </row>
    <row r="70" spans="1:7" x14ac:dyDescent="0.2">
      <c r="A70" s="33"/>
      <c r="C70" s="29"/>
      <c r="G70" s="41"/>
    </row>
    <row r="71" spans="1:7" x14ac:dyDescent="0.2">
      <c r="A71" s="34"/>
      <c r="C71" s="29"/>
      <c r="G71" s="41"/>
    </row>
    <row r="72" spans="1:7" x14ac:dyDescent="0.2">
      <c r="A72" s="33"/>
    </row>
    <row r="73" spans="1:7" x14ac:dyDescent="0.2">
      <c r="A73" s="34"/>
      <c r="C73" s="29"/>
    </row>
    <row r="74" spans="1:7" x14ac:dyDescent="0.2">
      <c r="A74" s="34"/>
      <c r="B74" s="29"/>
      <c r="C74" s="29"/>
    </row>
    <row r="75" spans="1:7" x14ac:dyDescent="0.2">
      <c r="A75" s="34"/>
      <c r="B75" s="29"/>
      <c r="C75" s="29"/>
    </row>
    <row r="76" spans="1:7" x14ac:dyDescent="0.2">
      <c r="A76" s="34"/>
      <c r="B76" s="29"/>
      <c r="C76" s="29"/>
    </row>
    <row r="77" spans="1:7" x14ac:dyDescent="0.2">
      <c r="A77" s="34"/>
      <c r="B77" s="29"/>
      <c r="C77" s="29"/>
    </row>
    <row r="78" spans="1:7" x14ac:dyDescent="0.2">
      <c r="A78" s="34"/>
      <c r="C78" s="29"/>
    </row>
    <row r="79" spans="1:7" x14ac:dyDescent="0.2">
      <c r="A79" s="34"/>
      <c r="B79" s="29"/>
      <c r="C79" s="29"/>
    </row>
    <row r="80" spans="1:7" x14ac:dyDescent="0.2">
      <c r="A80" s="34"/>
      <c r="B80" s="29"/>
    </row>
    <row r="81" spans="1:3" x14ac:dyDescent="0.2">
      <c r="A81" s="34"/>
      <c r="B81" s="29"/>
    </row>
    <row r="82" spans="1:3" x14ac:dyDescent="0.2">
      <c r="A82" s="34"/>
      <c r="B82" s="29"/>
    </row>
    <row r="83" spans="1:3" x14ac:dyDescent="0.2">
      <c r="A83" s="34"/>
      <c r="B83" s="29"/>
    </row>
    <row r="84" spans="1:3" x14ac:dyDescent="0.2">
      <c r="A84" s="34"/>
      <c r="B84" s="29"/>
      <c r="C84" s="29"/>
    </row>
    <row r="85" spans="1:3" x14ac:dyDescent="0.2">
      <c r="A85" s="34"/>
      <c r="B85" s="29"/>
    </row>
    <row r="86" spans="1:3" x14ac:dyDescent="0.2">
      <c r="A86" s="34"/>
      <c r="B86" s="29"/>
    </row>
    <row r="87" spans="1:3" x14ac:dyDescent="0.2">
      <c r="A87" s="34"/>
      <c r="B87" s="29"/>
    </row>
    <row r="88" spans="1:3" x14ac:dyDescent="0.2">
      <c r="A88" s="34"/>
      <c r="B88" s="29"/>
    </row>
    <row r="89" spans="1:3" x14ac:dyDescent="0.2">
      <c r="A89" s="34"/>
      <c r="B89" s="29"/>
    </row>
    <row r="90" spans="1:3" x14ac:dyDescent="0.2">
      <c r="A90" s="34"/>
      <c r="B90" s="29"/>
    </row>
    <row r="91" spans="1:3" x14ac:dyDescent="0.2">
      <c r="A91" s="34"/>
      <c r="B91" s="29"/>
    </row>
    <row r="92" spans="1:3" x14ac:dyDescent="0.2">
      <c r="A92" s="34"/>
      <c r="B92" s="29"/>
    </row>
    <row r="93" spans="1:3" x14ac:dyDescent="0.2">
      <c r="A93" s="34"/>
      <c r="B93" s="29"/>
    </row>
    <row r="94" spans="1:3" x14ac:dyDescent="0.2">
      <c r="A94" s="34"/>
      <c r="B94" s="29"/>
    </row>
    <row r="95" spans="1:3" x14ac:dyDescent="0.2">
      <c r="A95" s="34"/>
      <c r="B95" s="29"/>
    </row>
    <row r="96" spans="1:3" x14ac:dyDescent="0.2">
      <c r="A96" s="34"/>
      <c r="B96" s="29"/>
    </row>
    <row r="97" spans="1:2" x14ac:dyDescent="0.2">
      <c r="A97" s="34"/>
      <c r="B97" s="29"/>
    </row>
    <row r="98" spans="1:2" x14ac:dyDescent="0.2">
      <c r="A98" s="34"/>
      <c r="B98" s="29"/>
    </row>
    <row r="99" spans="1:2" x14ac:dyDescent="0.2">
      <c r="A99" s="34"/>
      <c r="B99" s="29"/>
    </row>
    <row r="100" spans="1:2" x14ac:dyDescent="0.2">
      <c r="A100" s="34"/>
      <c r="B100" s="29"/>
    </row>
    <row r="101" spans="1:2" x14ac:dyDescent="0.2">
      <c r="A101" s="34"/>
      <c r="B101" s="29"/>
    </row>
    <row r="102" spans="1:2" x14ac:dyDescent="0.2">
      <c r="A102" s="34"/>
    </row>
    <row r="103" spans="1:2" x14ac:dyDescent="0.2">
      <c r="A103" s="34"/>
    </row>
    <row r="104" spans="1:2" x14ac:dyDescent="0.2">
      <c r="A104" s="34"/>
    </row>
    <row r="105" spans="1:2" x14ac:dyDescent="0.2">
      <c r="A105" s="34"/>
    </row>
    <row r="106" spans="1:2" x14ac:dyDescent="0.2">
      <c r="A106" s="34"/>
    </row>
    <row r="107" spans="1:2" x14ac:dyDescent="0.2">
      <c r="A107" s="34"/>
    </row>
    <row r="108" spans="1:2" x14ac:dyDescent="0.2">
      <c r="A108" s="34"/>
    </row>
    <row r="109" spans="1:2" x14ac:dyDescent="0.2">
      <c r="A109" s="34"/>
    </row>
    <row r="110" spans="1:2" x14ac:dyDescent="0.2">
      <c r="A110" s="34"/>
    </row>
    <row r="111" spans="1:2" x14ac:dyDescent="0.2">
      <c r="A111" s="34"/>
    </row>
    <row r="112" spans="1:2" x14ac:dyDescent="0.2">
      <c r="A112" s="34"/>
    </row>
    <row r="113" spans="1:1" x14ac:dyDescent="0.2">
      <c r="A113" s="34"/>
    </row>
    <row r="114" spans="1:1" x14ac:dyDescent="0.2">
      <c r="A114" s="34"/>
    </row>
    <row r="115" spans="1:1" x14ac:dyDescent="0.2">
      <c r="A115" s="34"/>
    </row>
    <row r="116" spans="1:1" x14ac:dyDescent="0.2">
      <c r="A116" s="34"/>
    </row>
    <row r="117" spans="1:1" x14ac:dyDescent="0.2">
      <c r="A117" s="34"/>
    </row>
    <row r="118" spans="1:1" x14ac:dyDescent="0.2">
      <c r="A118" s="34"/>
    </row>
    <row r="119" spans="1:1" x14ac:dyDescent="0.2">
      <c r="A119" s="34"/>
    </row>
    <row r="120" spans="1:1" x14ac:dyDescent="0.2">
      <c r="A120" s="34"/>
    </row>
    <row r="121" spans="1:1" x14ac:dyDescent="0.2">
      <c r="A121" s="34"/>
    </row>
    <row r="122" spans="1:1" x14ac:dyDescent="0.2">
      <c r="A122" s="34"/>
    </row>
    <row r="123" spans="1:1" x14ac:dyDescent="0.2">
      <c r="A123" s="34"/>
    </row>
    <row r="124" spans="1:1" x14ac:dyDescent="0.2">
      <c r="A124" s="34"/>
    </row>
    <row r="125" spans="1:1" x14ac:dyDescent="0.2">
      <c r="A125" s="34"/>
    </row>
    <row r="126" spans="1:1" x14ac:dyDescent="0.2">
      <c r="A126" s="34"/>
    </row>
    <row r="127" spans="1:1" x14ac:dyDescent="0.2">
      <c r="A127" s="34"/>
    </row>
    <row r="128" spans="1:1" x14ac:dyDescent="0.2">
      <c r="A128" s="34"/>
    </row>
    <row r="129" spans="1:3" x14ac:dyDescent="0.2">
      <c r="A129" s="34"/>
    </row>
    <row r="130" spans="1:3" x14ac:dyDescent="0.2">
      <c r="A130" s="34"/>
    </row>
    <row r="131" spans="1:3" x14ac:dyDescent="0.2">
      <c r="A131" s="34"/>
      <c r="B131" s="29"/>
      <c r="C131" s="29"/>
    </row>
    <row r="132" spans="1:3" x14ac:dyDescent="0.2">
      <c r="A132" s="34"/>
    </row>
    <row r="133" spans="1:3" x14ac:dyDescent="0.2">
      <c r="A133" s="34"/>
    </row>
    <row r="134" spans="1:3" x14ac:dyDescent="0.2">
      <c r="A134" s="34"/>
    </row>
    <row r="135" spans="1:3" x14ac:dyDescent="0.2">
      <c r="A135" s="34"/>
    </row>
    <row r="136" spans="1:3" x14ac:dyDescent="0.2">
      <c r="A136" s="34"/>
    </row>
    <row r="137" spans="1:3" x14ac:dyDescent="0.2">
      <c r="A137" s="34"/>
    </row>
    <row r="138" spans="1:3" x14ac:dyDescent="0.2">
      <c r="A138" s="34"/>
    </row>
    <row r="139" spans="1:3" x14ac:dyDescent="0.2">
      <c r="A139" s="34"/>
    </row>
    <row r="140" spans="1:3" x14ac:dyDescent="0.2">
      <c r="A140" s="34"/>
    </row>
    <row r="141" spans="1:3" x14ac:dyDescent="0.2">
      <c r="A141" s="34"/>
    </row>
    <row r="142" spans="1:3" x14ac:dyDescent="0.2">
      <c r="A142" s="34"/>
    </row>
    <row r="143" spans="1:3" x14ac:dyDescent="0.2">
      <c r="A143" s="34"/>
    </row>
    <row r="144" spans="1:3" x14ac:dyDescent="0.2">
      <c r="A144" s="34"/>
    </row>
    <row r="145" spans="1:1" x14ac:dyDescent="0.2">
      <c r="A145" s="34"/>
    </row>
    <row r="146" spans="1:1" x14ac:dyDescent="0.2">
      <c r="A146" s="34"/>
    </row>
    <row r="147" spans="1:1" x14ac:dyDescent="0.2">
      <c r="A147" s="34"/>
    </row>
    <row r="148" spans="1:1" x14ac:dyDescent="0.2">
      <c r="A148" s="34"/>
    </row>
    <row r="149" spans="1:1" x14ac:dyDescent="0.2">
      <c r="A149" s="34"/>
    </row>
    <row r="150" spans="1:1" x14ac:dyDescent="0.2">
      <c r="A150" s="34"/>
    </row>
    <row r="151" spans="1:1" x14ac:dyDescent="0.2">
      <c r="A151" s="34"/>
    </row>
    <row r="152" spans="1:1" x14ac:dyDescent="0.2">
      <c r="A152" s="34"/>
    </row>
    <row r="153" spans="1:1" x14ac:dyDescent="0.2">
      <c r="A153" s="34"/>
    </row>
    <row r="154" spans="1:1" x14ac:dyDescent="0.2">
      <c r="A154" s="34"/>
    </row>
    <row r="155" spans="1:1" x14ac:dyDescent="0.2">
      <c r="A155" s="34"/>
    </row>
    <row r="156" spans="1:1" x14ac:dyDescent="0.2">
      <c r="A156" s="34"/>
    </row>
    <row r="157" spans="1:1" x14ac:dyDescent="0.2">
      <c r="A157" s="34"/>
    </row>
    <row r="158" spans="1:1" x14ac:dyDescent="0.2">
      <c r="A158" s="34"/>
    </row>
    <row r="159" spans="1:1" x14ac:dyDescent="0.2">
      <c r="A159" s="34"/>
    </row>
    <row r="160" spans="1:1" x14ac:dyDescent="0.2">
      <c r="A160" s="34"/>
    </row>
    <row r="161" spans="1:1" x14ac:dyDescent="0.2">
      <c r="A161" s="34"/>
    </row>
  </sheetData>
  <autoFilter ref="A1:D1" xr:uid="{00000000-0009-0000-0000-000003000000}">
    <sortState ref="A2:D160">
      <sortCondition ref="A1"/>
    </sortState>
  </autoFilter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alcExp">
                <anchor moveWithCells="1" sizeWithCells="1">
                  <from>
                    <xdr:col>4</xdr:col>
                    <xdr:colOff>0</xdr:colOff>
                    <xdr:row>0</xdr:row>
                    <xdr:rowOff>190500</xdr:rowOff>
                  </from>
                  <to>
                    <xdr:col>4</xdr:col>
                    <xdr:colOff>584200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S161"/>
  <sheetViews>
    <sheetView zoomScale="120" zoomScaleNormal="120" workbookViewId="0">
      <selection activeCell="O3" sqref="O3"/>
    </sheetView>
  </sheetViews>
  <sheetFormatPr baseColWidth="10" defaultColWidth="8.83203125" defaultRowHeight="15" x14ac:dyDescent="0.2"/>
  <cols>
    <col min="1" max="1" width="10.6640625" style="35" customWidth="1"/>
    <col min="2" max="2" width="23.33203125" style="28" customWidth="1"/>
    <col min="3" max="3" width="14" style="28" customWidth="1"/>
    <col min="4" max="4" width="11.5" style="30" customWidth="1"/>
    <col min="6" max="6" width="15" customWidth="1"/>
    <col min="7" max="7" width="11.5" bestFit="1" customWidth="1"/>
    <col min="8" max="9" width="11.5" style="3" customWidth="1"/>
    <col min="10" max="10" width="24.6640625" customWidth="1"/>
    <col min="11" max="11" width="11" customWidth="1"/>
    <col min="13" max="13" width="15.33203125" customWidth="1"/>
    <col min="14" max="14" width="15.5" customWidth="1"/>
    <col min="15" max="15" width="11.5" style="3" customWidth="1"/>
    <col min="16" max="16" width="11.5" customWidth="1"/>
    <col min="17" max="17" width="16.5" style="72" customWidth="1"/>
    <col min="18" max="18" width="10.6640625" bestFit="1" customWidth="1"/>
  </cols>
  <sheetData>
    <row r="1" spans="1:19" ht="16" thickBot="1" x14ac:dyDescent="0.25">
      <c r="A1" s="31" t="s">
        <v>0</v>
      </c>
      <c r="B1" s="32" t="s">
        <v>1</v>
      </c>
      <c r="C1" s="32" t="s">
        <v>2</v>
      </c>
      <c r="D1" s="40" t="s">
        <v>3</v>
      </c>
      <c r="E1" s="23"/>
      <c r="F1" s="162" t="s">
        <v>23</v>
      </c>
      <c r="G1" s="162"/>
      <c r="H1" s="163" t="s">
        <v>6</v>
      </c>
      <c r="I1" s="164" t="s">
        <v>7</v>
      </c>
      <c r="J1" s="165"/>
      <c r="K1" s="162"/>
      <c r="M1" s="1" t="s">
        <v>4</v>
      </c>
      <c r="N1" s="1" t="s">
        <v>5</v>
      </c>
      <c r="O1" s="27" t="s">
        <v>6</v>
      </c>
      <c r="P1" s="24" t="s">
        <v>7</v>
      </c>
      <c r="Q1" s="68" t="s">
        <v>8</v>
      </c>
      <c r="R1" s="1" t="s">
        <v>0</v>
      </c>
      <c r="S1" s="15"/>
    </row>
    <row r="2" spans="1:19" x14ac:dyDescent="0.2">
      <c r="A2" s="34">
        <v>43283</v>
      </c>
      <c r="B2" s="29" t="s">
        <v>189</v>
      </c>
      <c r="C2" s="28" t="s">
        <v>84</v>
      </c>
      <c r="D2" s="30">
        <v>-1.85</v>
      </c>
      <c r="F2" s="171" t="s">
        <v>20</v>
      </c>
      <c r="G2" s="172"/>
      <c r="H2" s="173"/>
      <c r="I2" s="173"/>
      <c r="J2" s="174"/>
      <c r="K2" s="175" t="s">
        <v>24</v>
      </c>
      <c r="M2" t="s">
        <v>16</v>
      </c>
      <c r="N2" t="s">
        <v>17</v>
      </c>
      <c r="O2" s="26">
        <v>1000</v>
      </c>
      <c r="P2" s="25">
        <f>H53</f>
        <v>0</v>
      </c>
      <c r="Q2" s="69" t="s">
        <v>18</v>
      </c>
      <c r="S2" s="15"/>
    </row>
    <row r="3" spans="1:19" x14ac:dyDescent="0.2">
      <c r="A3" s="34">
        <v>43283</v>
      </c>
      <c r="B3" s="29" t="s">
        <v>190</v>
      </c>
      <c r="C3" s="28" t="s">
        <v>90</v>
      </c>
      <c r="D3" s="30">
        <v>1.32</v>
      </c>
      <c r="F3" s="201"/>
      <c r="G3" s="15" t="s">
        <v>25</v>
      </c>
      <c r="H3" s="11">
        <v>0</v>
      </c>
      <c r="I3" s="181"/>
      <c r="J3" s="182" t="s">
        <v>140</v>
      </c>
      <c r="K3" s="183" t="e">
        <f>I3/($H$19-$I$18)</f>
        <v>#DIV/0!</v>
      </c>
      <c r="N3" t="s">
        <v>19</v>
      </c>
      <c r="O3" s="26">
        <v>0</v>
      </c>
      <c r="P3" s="25">
        <f>H15</f>
        <v>0</v>
      </c>
      <c r="Q3" s="69" t="s">
        <v>20</v>
      </c>
      <c r="S3" s="15"/>
    </row>
    <row r="4" spans="1:19" x14ac:dyDescent="0.2">
      <c r="A4" s="34">
        <v>43283</v>
      </c>
      <c r="B4" s="29" t="s">
        <v>190</v>
      </c>
      <c r="C4" s="28" t="s">
        <v>90</v>
      </c>
      <c r="D4" s="30">
        <v>0.39</v>
      </c>
      <c r="F4" s="201"/>
      <c r="G4" s="184"/>
      <c r="H4" s="181"/>
      <c r="I4" s="181"/>
      <c r="J4" s="182" t="s">
        <v>26</v>
      </c>
      <c r="K4" s="183" t="e">
        <f t="shared" ref="K4:K17" si="0">I4/($H$19-$I$18)</f>
        <v>#DIV/0!</v>
      </c>
      <c r="N4" t="s">
        <v>51</v>
      </c>
      <c r="O4" s="26">
        <v>0</v>
      </c>
      <c r="P4" s="25">
        <f>O24</f>
        <v>0</v>
      </c>
      <c r="Q4" s="70" t="s">
        <v>45</v>
      </c>
      <c r="S4" s="15"/>
    </row>
    <row r="5" spans="1:19" x14ac:dyDescent="0.2">
      <c r="A5" s="33">
        <v>43301</v>
      </c>
      <c r="B5" s="29" t="s">
        <v>190</v>
      </c>
      <c r="C5" s="28" t="s">
        <v>90</v>
      </c>
      <c r="D5" s="30">
        <v>8.35</v>
      </c>
      <c r="F5" s="179"/>
      <c r="G5" s="184"/>
      <c r="H5" s="181"/>
      <c r="I5" s="181"/>
      <c r="J5" s="16" t="s">
        <v>68</v>
      </c>
      <c r="K5" s="183" t="e">
        <f t="shared" si="0"/>
        <v>#DIV/0!</v>
      </c>
      <c r="N5" t="s">
        <v>90</v>
      </c>
      <c r="O5" s="26">
        <v>10.059999999999999</v>
      </c>
      <c r="P5" s="25">
        <v>-1.85</v>
      </c>
      <c r="Q5" s="69" t="s">
        <v>84</v>
      </c>
      <c r="R5" s="4"/>
      <c r="S5" s="15"/>
    </row>
    <row r="6" spans="1:19" x14ac:dyDescent="0.2">
      <c r="A6" s="33"/>
      <c r="B6" s="29"/>
      <c r="F6" s="179"/>
      <c r="G6" s="184"/>
      <c r="H6" s="181"/>
      <c r="I6" s="181"/>
      <c r="J6" s="182" t="s">
        <v>27</v>
      </c>
      <c r="K6" s="183" t="e">
        <f t="shared" si="0"/>
        <v>#DIV/0!</v>
      </c>
      <c r="O6" s="26">
        <v>0</v>
      </c>
      <c r="P6" s="25">
        <v>0</v>
      </c>
      <c r="Q6" s="69"/>
      <c r="R6" s="4"/>
      <c r="S6" s="15"/>
    </row>
    <row r="7" spans="1:19" x14ac:dyDescent="0.2">
      <c r="A7" s="33"/>
      <c r="B7" s="29"/>
      <c r="F7" s="179"/>
      <c r="G7" s="184"/>
      <c r="H7" s="181"/>
      <c r="I7" s="181"/>
      <c r="J7" s="182" t="s">
        <v>28</v>
      </c>
      <c r="K7" s="183" t="e">
        <f t="shared" si="0"/>
        <v>#DIV/0!</v>
      </c>
      <c r="O7" s="26"/>
      <c r="P7" s="25">
        <v>0</v>
      </c>
      <c r="Q7" s="239" t="s">
        <v>200</v>
      </c>
      <c r="R7" s="4"/>
      <c r="S7" s="15"/>
    </row>
    <row r="8" spans="1:19" x14ac:dyDescent="0.2">
      <c r="A8" s="33"/>
      <c r="B8" s="29"/>
      <c r="F8" s="179"/>
      <c r="G8" s="184"/>
      <c r="H8" s="181"/>
      <c r="I8" s="181"/>
      <c r="J8" s="182" t="s">
        <v>29</v>
      </c>
      <c r="K8" s="183" t="e">
        <f t="shared" si="0"/>
        <v>#DIV/0!</v>
      </c>
      <c r="O8" s="26"/>
      <c r="P8" s="39">
        <f>SUM(O2:P5)</f>
        <v>1008.2099999999999</v>
      </c>
      <c r="Q8" s="71" t="s">
        <v>15</v>
      </c>
      <c r="R8" s="4"/>
      <c r="S8" s="15"/>
    </row>
    <row r="9" spans="1:19" x14ac:dyDescent="0.2">
      <c r="A9" s="33"/>
      <c r="B9" s="29"/>
      <c r="F9" s="179"/>
      <c r="G9" s="184"/>
      <c r="H9" s="181"/>
      <c r="I9" s="181"/>
      <c r="J9" s="16" t="s">
        <v>30</v>
      </c>
      <c r="K9" s="183" t="e">
        <f t="shared" si="0"/>
        <v>#DIV/0!</v>
      </c>
      <c r="O9" s="43"/>
      <c r="P9" s="43"/>
      <c r="Q9" s="69"/>
      <c r="S9" s="15"/>
    </row>
    <row r="10" spans="1:19" x14ac:dyDescent="0.2">
      <c r="A10" s="34"/>
      <c r="B10" s="29"/>
      <c r="F10" s="179"/>
      <c r="G10" s="184"/>
      <c r="H10" s="181"/>
      <c r="I10" s="181"/>
      <c r="J10" s="193" t="s">
        <v>31</v>
      </c>
      <c r="K10" s="183" t="e">
        <f t="shared" si="0"/>
        <v>#DIV/0!</v>
      </c>
      <c r="S10" s="15"/>
    </row>
    <row r="11" spans="1:19" x14ac:dyDescent="0.2">
      <c r="A11" s="33"/>
      <c r="B11" s="29"/>
      <c r="D11" s="226"/>
      <c r="F11" s="179"/>
      <c r="G11" s="184"/>
      <c r="H11" s="181"/>
      <c r="I11" s="181"/>
      <c r="J11" s="193" t="s">
        <v>32</v>
      </c>
      <c r="K11" s="183" t="e">
        <f t="shared" si="0"/>
        <v>#DIV/0!</v>
      </c>
      <c r="S11" s="15"/>
    </row>
    <row r="12" spans="1:19" x14ac:dyDescent="0.2">
      <c r="A12" s="34"/>
      <c r="B12" s="29"/>
      <c r="D12" s="226"/>
      <c r="F12" s="179"/>
      <c r="G12" s="184"/>
      <c r="H12" s="181"/>
      <c r="I12" s="181"/>
      <c r="J12" s="62" t="s">
        <v>195</v>
      </c>
      <c r="K12" s="183" t="e">
        <f t="shared" si="0"/>
        <v>#DIV/0!</v>
      </c>
      <c r="S12" s="15"/>
    </row>
    <row r="13" spans="1:19" x14ac:dyDescent="0.2">
      <c r="A13" s="168"/>
      <c r="B13" s="221"/>
      <c r="C13" s="222"/>
      <c r="D13" s="170"/>
      <c r="F13" s="179"/>
      <c r="G13" s="184"/>
      <c r="H13" s="181"/>
      <c r="I13" s="181"/>
      <c r="J13" s="16" t="s">
        <v>33</v>
      </c>
      <c r="K13" s="183" t="e">
        <f t="shared" si="0"/>
        <v>#DIV/0!</v>
      </c>
      <c r="S13" s="15"/>
    </row>
    <row r="14" spans="1:19" x14ac:dyDescent="0.2">
      <c r="A14" s="34"/>
      <c r="B14" s="29"/>
      <c r="F14" s="179"/>
      <c r="G14" s="184"/>
      <c r="H14" s="181"/>
      <c r="I14" s="181"/>
      <c r="J14" s="184"/>
      <c r="K14" s="183" t="e">
        <f t="shared" si="0"/>
        <v>#DIV/0!</v>
      </c>
      <c r="S14" s="15"/>
    </row>
    <row r="15" spans="1:19" ht="16" thickBot="1" x14ac:dyDescent="0.25">
      <c r="A15" s="33"/>
      <c r="B15" s="221"/>
      <c r="C15" s="221"/>
      <c r="D15" s="170"/>
      <c r="F15" s="179"/>
      <c r="G15" s="184"/>
      <c r="H15" s="181"/>
      <c r="I15" s="181"/>
      <c r="J15" s="193"/>
      <c r="K15" s="183" t="e">
        <f t="shared" si="0"/>
        <v>#DIV/0!</v>
      </c>
      <c r="S15" s="15"/>
    </row>
    <row r="16" spans="1:19" x14ac:dyDescent="0.2">
      <c r="A16" s="168"/>
      <c r="B16" s="221"/>
      <c r="C16" s="222"/>
      <c r="D16" s="170"/>
      <c r="F16" s="179"/>
      <c r="G16" s="184"/>
      <c r="H16" s="203"/>
      <c r="I16" s="181"/>
      <c r="J16" s="184"/>
      <c r="K16" s="183" t="e">
        <f t="shared" si="0"/>
        <v>#DIV/0!</v>
      </c>
      <c r="M16" s="22" t="s">
        <v>43</v>
      </c>
      <c r="N16" s="7"/>
      <c r="O16" s="36"/>
      <c r="P16" s="36"/>
      <c r="Q16" s="73" t="s">
        <v>17</v>
      </c>
      <c r="R16" s="51"/>
      <c r="S16" s="15"/>
    </row>
    <row r="17" spans="1:19" x14ac:dyDescent="0.2">
      <c r="A17" s="168"/>
      <c r="B17" s="221"/>
      <c r="C17" s="222"/>
      <c r="D17" s="170"/>
      <c r="F17" s="201"/>
      <c r="G17" s="202"/>
      <c r="H17" s="203"/>
      <c r="I17" s="181"/>
      <c r="J17" s="184"/>
      <c r="K17" s="183" t="e">
        <f t="shared" si="0"/>
        <v>#DIV/0!</v>
      </c>
      <c r="M17" s="9"/>
      <c r="N17" s="10"/>
      <c r="O17" s="11"/>
      <c r="P17" s="11"/>
      <c r="Q17" s="74"/>
      <c r="R17" s="12"/>
      <c r="S17" s="15"/>
    </row>
    <row r="18" spans="1:19" x14ac:dyDescent="0.2">
      <c r="A18" s="168"/>
      <c r="B18" s="29"/>
      <c r="D18" s="170"/>
      <c r="F18" s="201"/>
      <c r="G18" s="184"/>
      <c r="H18" s="203"/>
      <c r="I18" s="181"/>
      <c r="J18" s="16" t="s">
        <v>184</v>
      </c>
      <c r="K18" s="183"/>
      <c r="M18" s="9"/>
      <c r="N18" s="10"/>
      <c r="O18" s="11"/>
      <c r="P18" s="11"/>
      <c r="Q18" s="74"/>
      <c r="R18" s="12"/>
      <c r="S18" s="15"/>
    </row>
    <row r="19" spans="1:19" ht="16" thickBot="1" x14ac:dyDescent="0.25">
      <c r="A19" s="168"/>
      <c r="B19" s="221"/>
      <c r="C19" s="222"/>
      <c r="D19" s="170"/>
      <c r="F19" s="234"/>
      <c r="G19" s="195" t="s">
        <v>15</v>
      </c>
      <c r="H19" s="217">
        <f>SUM(I2:I19)</f>
        <v>0</v>
      </c>
      <c r="I19" s="196"/>
      <c r="J19" s="195"/>
      <c r="K19" s="183" t="e">
        <f>SUM(K3:K18)</f>
        <v>#DIV/0!</v>
      </c>
      <c r="M19" s="9"/>
      <c r="N19" s="10"/>
      <c r="O19" s="11"/>
      <c r="P19" s="11"/>
      <c r="Q19" s="74"/>
      <c r="R19" s="12"/>
      <c r="S19" s="15"/>
    </row>
    <row r="20" spans="1:19" x14ac:dyDescent="0.2">
      <c r="A20" s="168"/>
      <c r="B20" s="29"/>
      <c r="D20" s="170"/>
      <c r="F20" s="22" t="s">
        <v>44</v>
      </c>
      <c r="G20" s="7" t="s">
        <v>15</v>
      </c>
      <c r="H20" s="36"/>
      <c r="I20" s="36"/>
      <c r="J20" s="7" t="s">
        <v>17</v>
      </c>
      <c r="K20" s="8"/>
      <c r="M20" s="14"/>
      <c r="N20" s="10"/>
      <c r="O20" s="11"/>
      <c r="P20" s="11"/>
      <c r="Q20" s="74"/>
      <c r="R20" s="12"/>
      <c r="S20" s="15"/>
    </row>
    <row r="21" spans="1:19" x14ac:dyDescent="0.2">
      <c r="A21" s="168"/>
      <c r="B21" s="221"/>
      <c r="C21" s="222"/>
      <c r="D21" s="170"/>
      <c r="F21" s="201"/>
      <c r="G21" s="184"/>
      <c r="H21" s="181"/>
      <c r="I21" s="181"/>
      <c r="J21" s="184"/>
      <c r="K21" s="204"/>
      <c r="M21" s="14"/>
      <c r="N21" s="10"/>
      <c r="O21" s="11"/>
      <c r="P21" s="11"/>
      <c r="Q21" s="74"/>
      <c r="R21" s="12"/>
      <c r="S21" s="15"/>
    </row>
    <row r="22" spans="1:19" x14ac:dyDescent="0.2">
      <c r="A22" s="33"/>
      <c r="B22" s="221"/>
      <c r="C22" s="222"/>
      <c r="F22" s="201"/>
      <c r="G22" s="184"/>
      <c r="H22" s="181"/>
      <c r="I22" s="181"/>
      <c r="J22" s="184"/>
      <c r="K22" s="204"/>
      <c r="M22" s="14"/>
      <c r="N22" s="10"/>
      <c r="O22" s="11"/>
      <c r="P22" s="11"/>
      <c r="Q22" s="74"/>
      <c r="R22" s="12"/>
      <c r="S22" s="15"/>
    </row>
    <row r="23" spans="1:19" x14ac:dyDescent="0.2">
      <c r="A23" s="33"/>
      <c r="B23" s="29"/>
      <c r="F23" s="201"/>
      <c r="G23" s="184"/>
      <c r="H23" s="181"/>
      <c r="I23" s="181"/>
      <c r="J23" s="184"/>
      <c r="K23" s="204"/>
      <c r="M23" s="14"/>
      <c r="N23" s="10"/>
      <c r="O23" s="11"/>
      <c r="P23" s="11"/>
      <c r="Q23" s="74"/>
      <c r="R23" s="12"/>
      <c r="S23" s="15"/>
    </row>
    <row r="24" spans="1:19" ht="16" thickBot="1" x14ac:dyDescent="0.25">
      <c r="A24" s="33"/>
      <c r="B24" s="29"/>
      <c r="F24" s="201"/>
      <c r="G24" s="184"/>
      <c r="H24" s="181"/>
      <c r="I24" s="181"/>
      <c r="J24" s="184"/>
      <c r="K24" s="204"/>
      <c r="M24" s="19"/>
      <c r="N24" s="13" t="s">
        <v>15</v>
      </c>
      <c r="O24" s="37">
        <f>SUM(O16:P23)</f>
        <v>0</v>
      </c>
      <c r="P24" s="37"/>
      <c r="Q24" s="75"/>
      <c r="R24" s="20"/>
    </row>
    <row r="25" spans="1:19" x14ac:dyDescent="0.2">
      <c r="A25" s="33"/>
      <c r="B25" s="29"/>
      <c r="F25" s="179"/>
      <c r="G25" s="184"/>
      <c r="H25" s="181"/>
      <c r="I25" s="181"/>
      <c r="J25" s="184"/>
      <c r="K25" s="204"/>
      <c r="M25" s="15"/>
      <c r="N25" s="15"/>
      <c r="O25" s="45"/>
      <c r="P25" s="45"/>
      <c r="Q25" s="76"/>
      <c r="R25" s="44"/>
    </row>
    <row r="26" spans="1:19" x14ac:dyDescent="0.2">
      <c r="A26" s="33"/>
      <c r="B26" s="29"/>
      <c r="F26" s="179"/>
      <c r="G26" s="184"/>
      <c r="H26" s="181"/>
      <c r="I26" s="181"/>
      <c r="J26" s="184"/>
      <c r="K26" s="204"/>
      <c r="M26" s="15"/>
      <c r="N26" s="42"/>
      <c r="O26" s="45"/>
      <c r="P26" s="45"/>
      <c r="Q26" s="76"/>
      <c r="R26" s="10"/>
    </row>
    <row r="27" spans="1:19" x14ac:dyDescent="0.2">
      <c r="A27" s="33"/>
      <c r="B27" s="29"/>
      <c r="F27" s="179"/>
      <c r="G27" s="184"/>
      <c r="H27" s="181"/>
      <c r="I27" s="181"/>
      <c r="J27" s="184"/>
      <c r="K27" s="204"/>
      <c r="M27" s="10"/>
      <c r="N27" s="10"/>
      <c r="O27" s="43"/>
      <c r="P27" s="43"/>
      <c r="Q27" s="77"/>
      <c r="R27" s="10"/>
    </row>
    <row r="28" spans="1:19" x14ac:dyDescent="0.2">
      <c r="A28" s="33"/>
      <c r="B28" s="29"/>
      <c r="F28" s="179"/>
      <c r="G28" s="184"/>
      <c r="H28" s="181"/>
      <c r="I28" s="181"/>
      <c r="J28" s="184"/>
      <c r="K28" s="204"/>
      <c r="M28" s="60"/>
      <c r="N28" s="10"/>
      <c r="O28" s="6"/>
      <c r="P28" s="10"/>
      <c r="Q28" s="77"/>
      <c r="R28" s="10"/>
    </row>
    <row r="29" spans="1:19" x14ac:dyDescent="0.2">
      <c r="A29" s="33"/>
      <c r="B29" s="29"/>
      <c r="F29" s="201"/>
      <c r="G29" s="184"/>
      <c r="H29" s="181"/>
      <c r="I29" s="181"/>
      <c r="J29" s="184"/>
      <c r="K29" s="204"/>
      <c r="M29" s="10"/>
      <c r="N29" s="10"/>
      <c r="O29" s="6"/>
      <c r="P29" s="10"/>
      <c r="Q29" s="77"/>
      <c r="R29" s="10"/>
    </row>
    <row r="30" spans="1:19" x14ac:dyDescent="0.2">
      <c r="A30" s="33"/>
      <c r="F30" s="179"/>
      <c r="G30" s="184"/>
      <c r="H30" s="181"/>
      <c r="I30" s="181"/>
      <c r="J30" s="184"/>
      <c r="K30" s="204"/>
      <c r="M30" s="10"/>
      <c r="N30" s="10"/>
      <c r="O30" s="6"/>
      <c r="P30" s="10"/>
      <c r="Q30" s="77"/>
      <c r="R30" s="10"/>
    </row>
    <row r="31" spans="1:19" x14ac:dyDescent="0.2">
      <c r="A31" s="33"/>
      <c r="B31" s="29"/>
      <c r="F31" s="179"/>
      <c r="G31" s="184"/>
      <c r="H31" s="181"/>
      <c r="I31" s="181"/>
      <c r="J31" s="184"/>
      <c r="K31" s="204"/>
      <c r="M31" s="52"/>
      <c r="N31" s="10"/>
      <c r="O31" s="6"/>
      <c r="P31" s="10"/>
      <c r="Q31" s="77"/>
      <c r="R31" s="10"/>
    </row>
    <row r="32" spans="1:19" x14ac:dyDescent="0.2">
      <c r="A32" s="33"/>
      <c r="F32" s="179"/>
      <c r="G32" s="184"/>
      <c r="H32" s="181"/>
      <c r="I32" s="181"/>
      <c r="J32" s="184"/>
      <c r="K32" s="204"/>
      <c r="M32" s="10"/>
      <c r="N32" s="10"/>
      <c r="O32" s="6"/>
      <c r="P32" s="10"/>
      <c r="Q32" s="77"/>
      <c r="R32" s="10"/>
    </row>
    <row r="33" spans="1:18" x14ac:dyDescent="0.2">
      <c r="A33" s="33"/>
      <c r="B33" s="29"/>
      <c r="F33" s="179"/>
      <c r="G33" s="184"/>
      <c r="H33" s="181"/>
      <c r="I33" s="181"/>
      <c r="J33" s="184"/>
      <c r="K33" s="204"/>
      <c r="M33" s="10"/>
      <c r="N33" s="10"/>
      <c r="O33" s="6"/>
      <c r="P33" s="10"/>
      <c r="Q33" s="77"/>
      <c r="R33" s="10"/>
    </row>
    <row r="34" spans="1:18" x14ac:dyDescent="0.2">
      <c r="A34" s="33"/>
      <c r="F34" s="179"/>
      <c r="G34" s="184"/>
      <c r="H34" s="181"/>
      <c r="I34" s="181"/>
      <c r="J34" s="184"/>
      <c r="K34" s="204"/>
      <c r="M34" s="10"/>
      <c r="N34" s="10"/>
      <c r="O34" s="6"/>
      <c r="P34" s="10"/>
      <c r="Q34" s="77"/>
      <c r="R34" s="10"/>
    </row>
    <row r="35" spans="1:18" x14ac:dyDescent="0.2">
      <c r="A35" s="34"/>
      <c r="F35" s="179"/>
      <c r="G35" s="184"/>
      <c r="H35" s="181"/>
      <c r="I35" s="181"/>
      <c r="J35" s="184"/>
      <c r="K35" s="204"/>
      <c r="M35" s="10"/>
      <c r="N35" s="10"/>
      <c r="O35" s="6"/>
      <c r="P35" s="10"/>
      <c r="Q35" s="77"/>
      <c r="R35" s="10"/>
    </row>
    <row r="36" spans="1:18" x14ac:dyDescent="0.2">
      <c r="A36" s="33"/>
      <c r="C36" s="29"/>
      <c r="F36" s="201"/>
      <c r="G36" s="184"/>
      <c r="H36" s="181"/>
      <c r="I36" s="181"/>
      <c r="J36" s="184"/>
      <c r="K36" s="204"/>
      <c r="M36" s="10"/>
      <c r="N36" s="10"/>
      <c r="O36" s="6"/>
      <c r="P36" s="10"/>
      <c r="Q36" s="77"/>
      <c r="R36" s="10"/>
    </row>
    <row r="37" spans="1:18" x14ac:dyDescent="0.2">
      <c r="A37" s="33"/>
      <c r="B37" s="29"/>
      <c r="F37" s="201"/>
      <c r="G37" s="184"/>
      <c r="H37" s="181"/>
      <c r="I37" s="181"/>
      <c r="J37" s="184"/>
      <c r="K37" s="204"/>
      <c r="M37" s="10"/>
      <c r="N37" s="10"/>
      <c r="O37" s="6"/>
      <c r="P37" s="10"/>
      <c r="Q37" s="77"/>
      <c r="R37" s="10"/>
    </row>
    <row r="38" spans="1:18" x14ac:dyDescent="0.2">
      <c r="A38" s="33"/>
      <c r="F38" s="201"/>
      <c r="G38" s="184"/>
      <c r="H38" s="181"/>
      <c r="I38" s="181"/>
      <c r="J38" s="184"/>
      <c r="K38" s="204"/>
      <c r="M38" s="10"/>
      <c r="R38" s="10"/>
    </row>
    <row r="39" spans="1:18" x14ac:dyDescent="0.2">
      <c r="A39" s="33"/>
      <c r="F39" s="201"/>
      <c r="G39" s="184"/>
      <c r="H39" s="181"/>
      <c r="I39" s="181"/>
      <c r="J39" s="184"/>
      <c r="K39" s="204"/>
      <c r="M39" s="10"/>
      <c r="R39" s="10"/>
    </row>
    <row r="40" spans="1:18" x14ac:dyDescent="0.2">
      <c r="A40" s="33"/>
      <c r="C40" s="29"/>
      <c r="F40" s="201"/>
      <c r="G40" s="184"/>
      <c r="H40" s="181"/>
      <c r="I40" s="181"/>
      <c r="J40" s="184"/>
      <c r="K40" s="204"/>
      <c r="M40" s="10"/>
      <c r="R40" s="10"/>
    </row>
    <row r="41" spans="1:18" x14ac:dyDescent="0.2">
      <c r="A41" s="33"/>
      <c r="C41" s="29"/>
      <c r="F41" s="201"/>
      <c r="G41" s="184"/>
      <c r="H41" s="181"/>
      <c r="I41" s="181"/>
      <c r="J41" s="184"/>
      <c r="K41" s="204"/>
      <c r="M41" s="10"/>
      <c r="R41" s="10"/>
    </row>
    <row r="42" spans="1:18" x14ac:dyDescent="0.2">
      <c r="A42" s="33"/>
      <c r="C42" s="29"/>
      <c r="F42" s="201"/>
      <c r="G42" s="184"/>
      <c r="H42" s="181"/>
      <c r="I42" s="181"/>
      <c r="J42" s="184"/>
      <c r="K42" s="204"/>
      <c r="M42" s="10"/>
      <c r="R42" s="10"/>
    </row>
    <row r="43" spans="1:18" x14ac:dyDescent="0.2">
      <c r="A43" s="33"/>
      <c r="C43" s="29"/>
      <c r="F43" s="201"/>
      <c r="G43" s="184"/>
      <c r="H43" s="181"/>
      <c r="I43" s="181"/>
      <c r="J43" s="184"/>
      <c r="K43" s="204"/>
      <c r="M43" s="10"/>
      <c r="N43" s="10"/>
      <c r="O43" s="6"/>
      <c r="P43" s="10"/>
      <c r="Q43" s="77"/>
      <c r="R43" s="10"/>
    </row>
    <row r="44" spans="1:18" x14ac:dyDescent="0.2">
      <c r="A44" s="34"/>
      <c r="F44" s="201"/>
      <c r="G44" s="184"/>
      <c r="H44" s="181"/>
      <c r="I44" s="181"/>
      <c r="J44" s="184"/>
      <c r="K44" s="204"/>
      <c r="M44" s="10"/>
      <c r="N44" s="10"/>
      <c r="O44" s="6"/>
      <c r="P44" s="10"/>
      <c r="Q44" s="77"/>
      <c r="R44" s="10"/>
    </row>
    <row r="45" spans="1:18" x14ac:dyDescent="0.2">
      <c r="A45" s="33"/>
      <c r="C45" s="29"/>
      <c r="F45" s="201"/>
      <c r="G45" s="184"/>
      <c r="H45" s="181"/>
      <c r="I45" s="181"/>
      <c r="J45" s="184"/>
      <c r="K45" s="215"/>
      <c r="M45" s="10"/>
      <c r="N45" s="10"/>
      <c r="O45" s="6"/>
      <c r="P45" s="10"/>
      <c r="Q45" s="77"/>
      <c r="R45" s="10"/>
    </row>
    <row r="46" spans="1:18" x14ac:dyDescent="0.2">
      <c r="A46" s="34"/>
      <c r="F46" s="201"/>
      <c r="G46" s="184"/>
      <c r="H46" s="181"/>
      <c r="I46" s="181"/>
      <c r="J46" s="184"/>
      <c r="K46" s="215"/>
      <c r="M46" s="10"/>
      <c r="N46" s="10"/>
      <c r="O46" s="6"/>
      <c r="P46" s="10"/>
      <c r="Q46" s="77"/>
      <c r="R46" s="10"/>
    </row>
    <row r="47" spans="1:18" x14ac:dyDescent="0.2">
      <c r="A47" s="33"/>
      <c r="C47" s="29"/>
      <c r="F47" s="201"/>
      <c r="G47" s="184"/>
      <c r="H47" s="181"/>
      <c r="I47" s="181"/>
      <c r="J47" s="184"/>
      <c r="K47" s="215"/>
      <c r="M47" s="10"/>
      <c r="N47" s="10"/>
      <c r="O47" s="6"/>
      <c r="P47" s="10"/>
      <c r="Q47" s="77"/>
    </row>
    <row r="48" spans="1:18" x14ac:dyDescent="0.2">
      <c r="A48" s="33"/>
      <c r="C48" s="29"/>
      <c r="F48" s="201"/>
      <c r="G48" s="184"/>
      <c r="H48" s="181"/>
      <c r="I48" s="181"/>
      <c r="J48" s="184"/>
      <c r="K48" s="215"/>
      <c r="M48" s="10"/>
      <c r="N48" s="10"/>
      <c r="O48" s="6"/>
      <c r="P48" s="10"/>
      <c r="Q48" s="77"/>
    </row>
    <row r="49" spans="1:11" x14ac:dyDescent="0.2">
      <c r="A49" s="33"/>
      <c r="C49" s="29"/>
      <c r="F49" s="201"/>
      <c r="G49" s="184"/>
      <c r="H49" s="181"/>
      <c r="I49" s="181"/>
      <c r="J49" s="184"/>
      <c r="K49" s="215"/>
    </row>
    <row r="50" spans="1:11" x14ac:dyDescent="0.2">
      <c r="A50" s="33"/>
      <c r="C50" s="29"/>
      <c r="F50" s="179"/>
      <c r="G50" s="184"/>
      <c r="H50" s="181"/>
      <c r="I50" s="181"/>
      <c r="J50" s="184"/>
      <c r="K50" s="215"/>
    </row>
    <row r="51" spans="1:11" x14ac:dyDescent="0.2">
      <c r="A51" s="33"/>
      <c r="C51" s="29"/>
      <c r="F51" s="179"/>
      <c r="G51" s="184"/>
      <c r="H51" s="181"/>
      <c r="I51" s="181"/>
      <c r="J51" s="184"/>
      <c r="K51" s="215"/>
    </row>
    <row r="52" spans="1:11" x14ac:dyDescent="0.2">
      <c r="F52" s="179"/>
      <c r="G52" s="184"/>
      <c r="H52" s="181"/>
      <c r="I52" s="181"/>
      <c r="J52" s="184"/>
      <c r="K52" s="215"/>
    </row>
    <row r="53" spans="1:11" ht="16" thickBot="1" x14ac:dyDescent="0.25">
      <c r="F53" s="194"/>
      <c r="G53" s="216"/>
      <c r="H53" s="217"/>
      <c r="I53" s="196"/>
      <c r="J53" s="195"/>
      <c r="K53" s="218"/>
    </row>
    <row r="56" spans="1:11" x14ac:dyDescent="0.2">
      <c r="A56" s="33"/>
      <c r="C56" s="29"/>
    </row>
    <row r="57" spans="1:11" x14ac:dyDescent="0.2">
      <c r="A57" s="33"/>
      <c r="C57" s="29"/>
    </row>
    <row r="58" spans="1:11" x14ac:dyDescent="0.2">
      <c r="A58" s="33"/>
      <c r="C58" s="29"/>
    </row>
    <row r="59" spans="1:11" x14ac:dyDescent="0.2">
      <c r="A59" s="33"/>
      <c r="C59" s="29"/>
    </row>
    <row r="60" spans="1:11" x14ac:dyDescent="0.2">
      <c r="A60" s="33"/>
      <c r="C60" s="29"/>
    </row>
    <row r="61" spans="1:11" x14ac:dyDescent="0.2">
      <c r="A61" s="33"/>
      <c r="C61" s="29"/>
    </row>
    <row r="62" spans="1:11" x14ac:dyDescent="0.2">
      <c r="A62" s="33"/>
      <c r="C62" s="29"/>
      <c r="G62" s="10"/>
    </row>
    <row r="63" spans="1:11" x14ac:dyDescent="0.2">
      <c r="A63" s="33"/>
      <c r="C63" s="29"/>
      <c r="G63" s="67"/>
    </row>
    <row r="64" spans="1:11" x14ac:dyDescent="0.2">
      <c r="A64" s="33"/>
      <c r="B64" s="29"/>
      <c r="C64" s="29"/>
      <c r="G64" s="41"/>
    </row>
    <row r="65" spans="1:7" x14ac:dyDescent="0.2">
      <c r="A65" s="33"/>
      <c r="C65" s="29"/>
      <c r="G65" s="41"/>
    </row>
    <row r="66" spans="1:7" x14ac:dyDescent="0.2">
      <c r="A66" s="33"/>
      <c r="C66" s="29"/>
      <c r="G66" s="41"/>
    </row>
    <row r="67" spans="1:7" x14ac:dyDescent="0.2">
      <c r="A67" s="33"/>
      <c r="C67" s="29"/>
      <c r="G67" s="41"/>
    </row>
    <row r="68" spans="1:7" x14ac:dyDescent="0.2">
      <c r="A68" s="33"/>
      <c r="C68" s="29"/>
      <c r="G68" s="41"/>
    </row>
    <row r="69" spans="1:7" x14ac:dyDescent="0.2">
      <c r="A69" s="33"/>
      <c r="C69" s="29"/>
      <c r="G69" s="41"/>
    </row>
    <row r="70" spans="1:7" x14ac:dyDescent="0.2">
      <c r="A70" s="33"/>
      <c r="C70" s="29"/>
      <c r="G70" s="41"/>
    </row>
    <row r="71" spans="1:7" x14ac:dyDescent="0.2">
      <c r="A71" s="34"/>
      <c r="C71" s="29"/>
      <c r="G71" s="41"/>
    </row>
    <row r="72" spans="1:7" x14ac:dyDescent="0.2">
      <c r="A72" s="33"/>
    </row>
    <row r="73" spans="1:7" x14ac:dyDescent="0.2">
      <c r="A73" s="34"/>
      <c r="C73" s="29"/>
    </row>
    <row r="74" spans="1:7" x14ac:dyDescent="0.2">
      <c r="A74" s="34"/>
      <c r="B74" s="29"/>
      <c r="C74" s="29"/>
    </row>
    <row r="75" spans="1:7" x14ac:dyDescent="0.2">
      <c r="A75" s="34"/>
      <c r="B75" s="29"/>
      <c r="C75" s="29"/>
    </row>
    <row r="76" spans="1:7" x14ac:dyDescent="0.2">
      <c r="A76" s="34"/>
      <c r="B76" s="29"/>
      <c r="C76" s="29"/>
    </row>
    <row r="77" spans="1:7" x14ac:dyDescent="0.2">
      <c r="A77" s="34"/>
      <c r="B77" s="29"/>
      <c r="C77" s="29"/>
    </row>
    <row r="78" spans="1:7" x14ac:dyDescent="0.2">
      <c r="A78" s="34"/>
      <c r="C78" s="29"/>
    </row>
    <row r="79" spans="1:7" x14ac:dyDescent="0.2">
      <c r="A79" s="34"/>
      <c r="B79" s="29"/>
      <c r="C79" s="29"/>
    </row>
    <row r="80" spans="1:7" x14ac:dyDescent="0.2">
      <c r="A80" s="34"/>
      <c r="B80" s="29"/>
    </row>
    <row r="81" spans="1:3" x14ac:dyDescent="0.2">
      <c r="A81" s="34"/>
      <c r="B81" s="29"/>
    </row>
    <row r="82" spans="1:3" x14ac:dyDescent="0.2">
      <c r="A82" s="34"/>
      <c r="B82" s="29"/>
    </row>
    <row r="83" spans="1:3" x14ac:dyDescent="0.2">
      <c r="A83" s="34"/>
      <c r="B83" s="29"/>
    </row>
    <row r="84" spans="1:3" x14ac:dyDescent="0.2">
      <c r="A84" s="34"/>
      <c r="B84" s="29"/>
      <c r="C84" s="29"/>
    </row>
    <row r="85" spans="1:3" x14ac:dyDescent="0.2">
      <c r="A85" s="34"/>
      <c r="B85" s="29"/>
    </row>
    <row r="86" spans="1:3" x14ac:dyDescent="0.2">
      <c r="A86" s="34"/>
      <c r="B86" s="29"/>
    </row>
    <row r="87" spans="1:3" x14ac:dyDescent="0.2">
      <c r="A87" s="34"/>
      <c r="B87" s="29"/>
    </row>
    <row r="88" spans="1:3" x14ac:dyDescent="0.2">
      <c r="A88" s="34"/>
      <c r="B88" s="29"/>
    </row>
    <row r="89" spans="1:3" x14ac:dyDescent="0.2">
      <c r="A89" s="34"/>
      <c r="B89" s="29"/>
    </row>
    <row r="90" spans="1:3" x14ac:dyDescent="0.2">
      <c r="A90" s="34"/>
      <c r="B90" s="29"/>
    </row>
    <row r="91" spans="1:3" x14ac:dyDescent="0.2">
      <c r="A91" s="34"/>
      <c r="B91" s="29"/>
    </row>
    <row r="92" spans="1:3" x14ac:dyDescent="0.2">
      <c r="A92" s="34"/>
      <c r="B92" s="29"/>
    </row>
    <row r="93" spans="1:3" x14ac:dyDescent="0.2">
      <c r="A93" s="34"/>
      <c r="B93" s="29"/>
    </row>
    <row r="94" spans="1:3" x14ac:dyDescent="0.2">
      <c r="A94" s="34"/>
      <c r="B94" s="29"/>
    </row>
    <row r="95" spans="1:3" x14ac:dyDescent="0.2">
      <c r="A95" s="34"/>
      <c r="B95" s="29"/>
    </row>
    <row r="96" spans="1:3" x14ac:dyDescent="0.2">
      <c r="A96" s="34"/>
      <c r="B96" s="29"/>
    </row>
    <row r="97" spans="1:2" x14ac:dyDescent="0.2">
      <c r="A97" s="34"/>
      <c r="B97" s="29"/>
    </row>
    <row r="98" spans="1:2" x14ac:dyDescent="0.2">
      <c r="A98" s="34"/>
      <c r="B98" s="29"/>
    </row>
    <row r="99" spans="1:2" x14ac:dyDescent="0.2">
      <c r="A99" s="34"/>
      <c r="B99" s="29"/>
    </row>
    <row r="100" spans="1:2" x14ac:dyDescent="0.2">
      <c r="A100" s="34"/>
      <c r="B100" s="29"/>
    </row>
    <row r="101" spans="1:2" x14ac:dyDescent="0.2">
      <c r="A101" s="34"/>
      <c r="B101" s="29"/>
    </row>
    <row r="102" spans="1:2" x14ac:dyDescent="0.2">
      <c r="A102" s="34"/>
    </row>
    <row r="103" spans="1:2" x14ac:dyDescent="0.2">
      <c r="A103" s="34"/>
    </row>
    <row r="104" spans="1:2" x14ac:dyDescent="0.2">
      <c r="A104" s="34"/>
    </row>
    <row r="105" spans="1:2" x14ac:dyDescent="0.2">
      <c r="A105" s="34"/>
    </row>
    <row r="106" spans="1:2" x14ac:dyDescent="0.2">
      <c r="A106" s="34"/>
    </row>
    <row r="107" spans="1:2" x14ac:dyDescent="0.2">
      <c r="A107" s="34"/>
    </row>
    <row r="108" spans="1:2" x14ac:dyDescent="0.2">
      <c r="A108" s="34"/>
    </row>
    <row r="109" spans="1:2" x14ac:dyDescent="0.2">
      <c r="A109" s="34"/>
    </row>
    <row r="110" spans="1:2" x14ac:dyDescent="0.2">
      <c r="A110" s="34"/>
    </row>
    <row r="111" spans="1:2" x14ac:dyDescent="0.2">
      <c r="A111" s="34"/>
    </row>
    <row r="112" spans="1:2" x14ac:dyDescent="0.2">
      <c r="A112" s="34"/>
    </row>
    <row r="113" spans="1:1" x14ac:dyDescent="0.2">
      <c r="A113" s="34"/>
    </row>
    <row r="114" spans="1:1" x14ac:dyDescent="0.2">
      <c r="A114" s="34"/>
    </row>
    <row r="115" spans="1:1" x14ac:dyDescent="0.2">
      <c r="A115" s="34"/>
    </row>
    <row r="116" spans="1:1" x14ac:dyDescent="0.2">
      <c r="A116" s="34"/>
    </row>
    <row r="117" spans="1:1" x14ac:dyDescent="0.2">
      <c r="A117" s="34"/>
    </row>
    <row r="118" spans="1:1" x14ac:dyDescent="0.2">
      <c r="A118" s="34"/>
    </row>
    <row r="119" spans="1:1" x14ac:dyDescent="0.2">
      <c r="A119" s="34"/>
    </row>
    <row r="120" spans="1:1" x14ac:dyDescent="0.2">
      <c r="A120" s="34"/>
    </row>
    <row r="121" spans="1:1" x14ac:dyDescent="0.2">
      <c r="A121" s="34"/>
    </row>
    <row r="122" spans="1:1" x14ac:dyDescent="0.2">
      <c r="A122" s="34"/>
    </row>
    <row r="123" spans="1:1" x14ac:dyDescent="0.2">
      <c r="A123" s="34"/>
    </row>
    <row r="124" spans="1:1" x14ac:dyDescent="0.2">
      <c r="A124" s="34"/>
    </row>
    <row r="125" spans="1:1" x14ac:dyDescent="0.2">
      <c r="A125" s="34"/>
    </row>
    <row r="126" spans="1:1" x14ac:dyDescent="0.2">
      <c r="A126" s="34"/>
    </row>
    <row r="127" spans="1:1" x14ac:dyDescent="0.2">
      <c r="A127" s="34"/>
    </row>
    <row r="128" spans="1:1" x14ac:dyDescent="0.2">
      <c r="A128" s="34"/>
    </row>
    <row r="129" spans="1:3" x14ac:dyDescent="0.2">
      <c r="A129" s="34"/>
    </row>
    <row r="130" spans="1:3" x14ac:dyDescent="0.2">
      <c r="A130" s="34"/>
    </row>
    <row r="131" spans="1:3" x14ac:dyDescent="0.2">
      <c r="A131" s="34"/>
      <c r="B131" s="29"/>
      <c r="C131" s="29"/>
    </row>
    <row r="132" spans="1:3" x14ac:dyDescent="0.2">
      <c r="A132" s="34"/>
    </row>
    <row r="133" spans="1:3" x14ac:dyDescent="0.2">
      <c r="A133" s="34"/>
    </row>
    <row r="134" spans="1:3" x14ac:dyDescent="0.2">
      <c r="A134" s="34"/>
    </row>
    <row r="135" spans="1:3" x14ac:dyDescent="0.2">
      <c r="A135" s="34"/>
    </row>
    <row r="136" spans="1:3" x14ac:dyDescent="0.2">
      <c r="A136" s="34"/>
    </row>
    <row r="137" spans="1:3" x14ac:dyDescent="0.2">
      <c r="A137" s="34"/>
    </row>
    <row r="138" spans="1:3" x14ac:dyDescent="0.2">
      <c r="A138" s="34"/>
    </row>
    <row r="139" spans="1:3" x14ac:dyDescent="0.2">
      <c r="A139" s="34"/>
    </row>
    <row r="140" spans="1:3" x14ac:dyDescent="0.2">
      <c r="A140" s="34"/>
    </row>
    <row r="141" spans="1:3" x14ac:dyDescent="0.2">
      <c r="A141" s="34"/>
    </row>
    <row r="142" spans="1:3" x14ac:dyDescent="0.2">
      <c r="A142" s="34"/>
    </row>
    <row r="143" spans="1:3" x14ac:dyDescent="0.2">
      <c r="A143" s="34"/>
    </row>
    <row r="144" spans="1:3" x14ac:dyDescent="0.2">
      <c r="A144" s="34"/>
    </row>
    <row r="145" spans="1:1" x14ac:dyDescent="0.2">
      <c r="A145" s="34"/>
    </row>
    <row r="146" spans="1:1" x14ac:dyDescent="0.2">
      <c r="A146" s="34"/>
    </row>
    <row r="147" spans="1:1" x14ac:dyDescent="0.2">
      <c r="A147" s="34"/>
    </row>
    <row r="148" spans="1:1" x14ac:dyDescent="0.2">
      <c r="A148" s="34"/>
    </row>
    <row r="149" spans="1:1" x14ac:dyDescent="0.2">
      <c r="A149" s="34"/>
    </row>
    <row r="150" spans="1:1" x14ac:dyDescent="0.2">
      <c r="A150" s="34"/>
    </row>
    <row r="151" spans="1:1" x14ac:dyDescent="0.2">
      <c r="A151" s="34"/>
    </row>
    <row r="152" spans="1:1" x14ac:dyDescent="0.2">
      <c r="A152" s="34"/>
    </row>
    <row r="153" spans="1:1" x14ac:dyDescent="0.2">
      <c r="A153" s="34"/>
    </row>
    <row r="154" spans="1:1" x14ac:dyDescent="0.2">
      <c r="A154" s="34"/>
    </row>
    <row r="155" spans="1:1" x14ac:dyDescent="0.2">
      <c r="A155" s="34"/>
    </row>
    <row r="156" spans="1:1" x14ac:dyDescent="0.2">
      <c r="A156" s="34"/>
    </row>
    <row r="157" spans="1:1" x14ac:dyDescent="0.2">
      <c r="A157" s="34"/>
    </row>
    <row r="158" spans="1:1" x14ac:dyDescent="0.2">
      <c r="A158" s="34"/>
    </row>
    <row r="159" spans="1:1" x14ac:dyDescent="0.2">
      <c r="A159" s="34"/>
    </row>
    <row r="160" spans="1:1" x14ac:dyDescent="0.2">
      <c r="A160" s="34"/>
    </row>
    <row r="161" spans="1:1" x14ac:dyDescent="0.2">
      <c r="A161" s="34"/>
    </row>
  </sheetData>
  <autoFilter ref="A1:D1" xr:uid="{00000000-0009-0000-0000-000004000000}">
    <sortState ref="A2:D29">
      <sortCondition ref="A1:A29"/>
    </sortState>
  </autoFilter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alcExp">
                <anchor moveWithCells="1" sizeWithCells="1">
                  <from>
                    <xdr:col>4</xdr:col>
                    <xdr:colOff>50800</xdr:colOff>
                    <xdr:row>1</xdr:row>
                    <xdr:rowOff>25400</xdr:rowOff>
                  </from>
                  <to>
                    <xdr:col>4</xdr:col>
                    <xdr:colOff>584200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1"/>
  <dimension ref="A1:S60"/>
  <sheetViews>
    <sheetView zoomScale="120" zoomScaleNormal="120" workbookViewId="0">
      <selection activeCell="K25" sqref="K25"/>
    </sheetView>
  </sheetViews>
  <sheetFormatPr baseColWidth="10" defaultColWidth="8.83203125" defaultRowHeight="15" x14ac:dyDescent="0.2"/>
  <cols>
    <col min="1" max="1" width="10.6640625" bestFit="1" customWidth="1"/>
    <col min="2" max="2" width="11.1640625" bestFit="1" customWidth="1"/>
    <col min="3" max="3" width="10.5" style="3" bestFit="1" customWidth="1"/>
    <col min="4" max="4" width="11.5" style="41" bestFit="1" customWidth="1"/>
    <col min="5" max="5" width="10.1640625" bestFit="1" customWidth="1"/>
    <col min="6" max="6" width="10.6640625" bestFit="1" customWidth="1"/>
    <col min="7" max="7" width="11.1640625" bestFit="1" customWidth="1"/>
    <col min="8" max="8" width="9.1640625" style="3"/>
    <col min="9" max="9" width="10.5" bestFit="1" customWidth="1"/>
    <col min="11" max="11" width="10.6640625" style="5" bestFit="1" customWidth="1"/>
    <col min="12" max="12" width="11.1640625" bestFit="1" customWidth="1"/>
    <col min="13" max="13" width="9.1640625" style="3"/>
    <col min="16" max="16" width="10.5" bestFit="1" customWidth="1"/>
    <col min="17" max="17" width="13.1640625" bestFit="1" customWidth="1"/>
    <col min="19" max="19" width="10.33203125" bestFit="1" customWidth="1"/>
  </cols>
  <sheetData>
    <row r="1" spans="1:19" x14ac:dyDescent="0.2">
      <c r="A1" s="50" t="s">
        <v>0</v>
      </c>
      <c r="B1" s="1" t="s">
        <v>88</v>
      </c>
      <c r="C1" s="53" t="s">
        <v>6</v>
      </c>
      <c r="D1" s="1" t="s">
        <v>89</v>
      </c>
      <c r="F1" s="50" t="s">
        <v>0</v>
      </c>
      <c r="G1" s="1" t="s">
        <v>88</v>
      </c>
      <c r="H1" s="53" t="s">
        <v>6</v>
      </c>
      <c r="I1" s="1" t="s">
        <v>89</v>
      </c>
      <c r="K1" s="50" t="s">
        <v>0</v>
      </c>
      <c r="L1" s="1" t="s">
        <v>88</v>
      </c>
      <c r="M1" s="53" t="s">
        <v>6</v>
      </c>
      <c r="N1" s="1" t="s">
        <v>89</v>
      </c>
      <c r="P1" s="50" t="s">
        <v>0</v>
      </c>
      <c r="Q1" s="1" t="s">
        <v>88</v>
      </c>
      <c r="R1" s="53" t="s">
        <v>6</v>
      </c>
      <c r="S1" s="1" t="s">
        <v>89</v>
      </c>
    </row>
    <row r="2" spans="1:19" x14ac:dyDescent="0.2">
      <c r="A2" s="5">
        <v>43480</v>
      </c>
      <c r="B2" t="s">
        <v>222</v>
      </c>
      <c r="C2" s="3">
        <v>20000</v>
      </c>
      <c r="D2" s="4">
        <f>SUM(C:C)</f>
        <v>20000</v>
      </c>
      <c r="F2" s="5">
        <v>43283</v>
      </c>
      <c r="G2" t="s">
        <v>190</v>
      </c>
      <c r="H2">
        <v>1.32</v>
      </c>
      <c r="I2" s="4">
        <f>SUM(H:H)</f>
        <v>10.059999999999999</v>
      </c>
      <c r="N2" s="4">
        <f>SUM(M:M)</f>
        <v>0</v>
      </c>
      <c r="P2" s="5"/>
      <c r="R2" s="3"/>
      <c r="S2" s="4">
        <f>SUM(R:R)</f>
        <v>0</v>
      </c>
    </row>
    <row r="3" spans="1:19" x14ac:dyDescent="0.2">
      <c r="A3" s="5"/>
      <c r="D3"/>
      <c r="F3" s="5">
        <v>43283</v>
      </c>
      <c r="G3" t="s">
        <v>190</v>
      </c>
      <c r="H3">
        <v>0.39</v>
      </c>
      <c r="P3" s="5"/>
      <c r="R3" s="3"/>
    </row>
    <row r="4" spans="1:19" x14ac:dyDescent="0.2">
      <c r="A4" s="5"/>
      <c r="D4"/>
      <c r="F4" s="5">
        <v>43301</v>
      </c>
      <c r="G4" t="s">
        <v>190</v>
      </c>
      <c r="H4">
        <v>8.35</v>
      </c>
      <c r="P4" s="5"/>
      <c r="R4" s="3"/>
    </row>
    <row r="5" spans="1:19" x14ac:dyDescent="0.2">
      <c r="A5" s="5"/>
      <c r="D5"/>
      <c r="F5" s="5"/>
      <c r="H5"/>
      <c r="P5" s="5"/>
      <c r="R5" s="3"/>
    </row>
    <row r="6" spans="1:19" x14ac:dyDescent="0.2">
      <c r="A6" s="5"/>
      <c r="D6"/>
      <c r="F6" s="5"/>
      <c r="H6"/>
      <c r="P6" s="5"/>
      <c r="R6" s="3"/>
    </row>
    <row r="7" spans="1:19" x14ac:dyDescent="0.2">
      <c r="A7" s="5"/>
      <c r="D7"/>
      <c r="F7" s="5"/>
      <c r="H7"/>
      <c r="P7" s="5"/>
      <c r="R7" s="263"/>
    </row>
    <row r="8" spans="1:19" x14ac:dyDescent="0.2">
      <c r="A8" s="5"/>
      <c r="D8"/>
      <c r="F8" s="5"/>
      <c r="H8"/>
      <c r="P8" s="5"/>
      <c r="R8" s="3"/>
    </row>
    <row r="9" spans="1:19" x14ac:dyDescent="0.2">
      <c r="A9" s="5"/>
      <c r="D9"/>
      <c r="F9" s="5"/>
      <c r="H9"/>
      <c r="P9" s="5"/>
      <c r="R9" s="3"/>
    </row>
    <row r="10" spans="1:19" x14ac:dyDescent="0.2">
      <c r="A10" s="5"/>
      <c r="D10"/>
      <c r="F10" s="5"/>
      <c r="H10"/>
    </row>
    <row r="11" spans="1:19" x14ac:dyDescent="0.2">
      <c r="A11" s="5"/>
      <c r="D11"/>
      <c r="F11" s="5"/>
      <c r="H11"/>
    </row>
    <row r="12" spans="1:19" x14ac:dyDescent="0.2">
      <c r="A12" s="5"/>
      <c r="D12"/>
      <c r="F12" s="5"/>
      <c r="H12"/>
    </row>
    <row r="13" spans="1:19" x14ac:dyDescent="0.2">
      <c r="A13" s="5"/>
      <c r="D13"/>
      <c r="F13" s="5"/>
      <c r="H13"/>
    </row>
    <row r="14" spans="1:19" x14ac:dyDescent="0.2">
      <c r="A14" s="5"/>
      <c r="D14"/>
      <c r="F14" s="5"/>
      <c r="H14"/>
    </row>
    <row r="15" spans="1:19" x14ac:dyDescent="0.2">
      <c r="A15" s="5"/>
      <c r="D15"/>
      <c r="F15" s="5"/>
      <c r="H15"/>
    </row>
    <row r="16" spans="1:19" x14ac:dyDescent="0.2">
      <c r="A16" s="5"/>
      <c r="D16"/>
      <c r="F16" s="5"/>
      <c r="H16"/>
    </row>
    <row r="17" spans="1:11" x14ac:dyDescent="0.2">
      <c r="A17" s="5"/>
      <c r="D17"/>
      <c r="F17" s="5"/>
      <c r="H17"/>
    </row>
    <row r="18" spans="1:11" x14ac:dyDescent="0.2">
      <c r="A18" s="5"/>
      <c r="D18"/>
      <c r="F18" s="5"/>
      <c r="H18"/>
    </row>
    <row r="19" spans="1:11" x14ac:dyDescent="0.2">
      <c r="A19" s="5"/>
      <c r="D19"/>
      <c r="F19" s="5"/>
      <c r="H19"/>
    </row>
    <row r="20" spans="1:11" x14ac:dyDescent="0.2">
      <c r="A20" s="5"/>
      <c r="D20"/>
      <c r="F20" s="5"/>
      <c r="H20"/>
    </row>
    <row r="21" spans="1:11" x14ac:dyDescent="0.2">
      <c r="A21" s="5"/>
      <c r="D21"/>
      <c r="F21" s="5"/>
      <c r="H21"/>
    </row>
    <row r="22" spans="1:11" x14ac:dyDescent="0.2">
      <c r="A22" s="5"/>
      <c r="D22"/>
      <c r="F22" s="5"/>
      <c r="H22"/>
    </row>
    <row r="23" spans="1:11" x14ac:dyDescent="0.2">
      <c r="A23" s="5"/>
      <c r="D23"/>
      <c r="F23" s="5"/>
      <c r="H23"/>
      <c r="K23"/>
    </row>
    <row r="24" spans="1:11" x14ac:dyDescent="0.2">
      <c r="A24" s="5"/>
      <c r="D24"/>
      <c r="F24" s="5"/>
      <c r="H24"/>
      <c r="K24"/>
    </row>
    <row r="25" spans="1:11" x14ac:dyDescent="0.2">
      <c r="A25" s="5"/>
      <c r="D25"/>
      <c r="F25" s="5"/>
      <c r="H25"/>
      <c r="K25"/>
    </row>
    <row r="26" spans="1:11" x14ac:dyDescent="0.2">
      <c r="A26" s="5"/>
      <c r="D26"/>
      <c r="F26" s="5"/>
      <c r="H26"/>
      <c r="K26"/>
    </row>
    <row r="27" spans="1:11" x14ac:dyDescent="0.2">
      <c r="A27" s="5"/>
      <c r="D27"/>
      <c r="F27" s="5"/>
      <c r="H27"/>
      <c r="K27"/>
    </row>
    <row r="28" spans="1:11" x14ac:dyDescent="0.2">
      <c r="A28" s="5"/>
      <c r="D28"/>
      <c r="F28" s="5"/>
      <c r="H28"/>
      <c r="K28"/>
    </row>
    <row r="29" spans="1:11" x14ac:dyDescent="0.2">
      <c r="A29" s="5"/>
      <c r="D29"/>
      <c r="F29" s="5"/>
      <c r="H29"/>
      <c r="K29"/>
    </row>
    <row r="30" spans="1:11" x14ac:dyDescent="0.2">
      <c r="A30" s="5"/>
      <c r="D30"/>
      <c r="F30" s="5"/>
      <c r="H30"/>
      <c r="K30"/>
    </row>
    <row r="31" spans="1:11" x14ac:dyDescent="0.2">
      <c r="A31" s="5"/>
      <c r="D31"/>
      <c r="F31" s="5"/>
      <c r="H31"/>
      <c r="K31"/>
    </row>
    <row r="32" spans="1:11" x14ac:dyDescent="0.2">
      <c r="A32" s="5"/>
      <c r="D32"/>
      <c r="F32" s="5"/>
      <c r="H32"/>
      <c r="K32"/>
    </row>
    <row r="33" spans="1:11" x14ac:dyDescent="0.2">
      <c r="A33" s="5"/>
      <c r="D33"/>
      <c r="F33" s="5"/>
      <c r="H33"/>
      <c r="K33"/>
    </row>
    <row r="34" spans="1:11" x14ac:dyDescent="0.2">
      <c r="A34" s="5"/>
      <c r="D34"/>
      <c r="F34" s="5"/>
      <c r="H34"/>
      <c r="K34"/>
    </row>
    <row r="35" spans="1:11" x14ac:dyDescent="0.2">
      <c r="A35" s="5"/>
      <c r="D35"/>
      <c r="F35" s="5"/>
      <c r="H35"/>
      <c r="K35"/>
    </row>
    <row r="36" spans="1:11" x14ac:dyDescent="0.2">
      <c r="A36" s="5"/>
      <c r="D36"/>
      <c r="H36"/>
      <c r="K36"/>
    </row>
    <row r="37" spans="1:11" x14ac:dyDescent="0.2">
      <c r="A37" s="5"/>
      <c r="D37"/>
      <c r="H37"/>
      <c r="K37"/>
    </row>
    <row r="38" spans="1:11" x14ac:dyDescent="0.2">
      <c r="A38" s="5"/>
      <c r="D38"/>
      <c r="H38"/>
      <c r="K38"/>
    </row>
    <row r="39" spans="1:11" x14ac:dyDescent="0.2">
      <c r="A39" s="5"/>
      <c r="D39"/>
      <c r="H39"/>
      <c r="K39"/>
    </row>
    <row r="40" spans="1:11" x14ac:dyDescent="0.2">
      <c r="A40" s="5"/>
      <c r="D40"/>
      <c r="H40"/>
      <c r="K40"/>
    </row>
    <row r="41" spans="1:11" x14ac:dyDescent="0.2">
      <c r="A41" s="5"/>
      <c r="D41"/>
      <c r="H41"/>
      <c r="K41"/>
    </row>
    <row r="42" spans="1:11" x14ac:dyDescent="0.2">
      <c r="A42" s="5"/>
      <c r="D42"/>
      <c r="H42"/>
      <c r="K42"/>
    </row>
    <row r="43" spans="1:11" x14ac:dyDescent="0.2">
      <c r="A43" s="5"/>
      <c r="D43"/>
      <c r="H43"/>
      <c r="K43"/>
    </row>
    <row r="44" spans="1:11" x14ac:dyDescent="0.2">
      <c r="A44" s="5"/>
      <c r="D44"/>
      <c r="H44"/>
      <c r="K44"/>
    </row>
    <row r="45" spans="1:11" x14ac:dyDescent="0.2">
      <c r="A45" s="5"/>
      <c r="D45"/>
      <c r="H45"/>
      <c r="K45"/>
    </row>
    <row r="46" spans="1:11" x14ac:dyDescent="0.2">
      <c r="A46" s="5"/>
      <c r="D46"/>
      <c r="H46"/>
      <c r="K46"/>
    </row>
    <row r="47" spans="1:11" x14ac:dyDescent="0.2">
      <c r="A47" s="5"/>
      <c r="D47"/>
      <c r="H47"/>
      <c r="K47"/>
    </row>
    <row r="48" spans="1:11" x14ac:dyDescent="0.2">
      <c r="A48" s="5"/>
      <c r="D48"/>
      <c r="H48"/>
      <c r="K48"/>
    </row>
    <row r="49" spans="1:11" x14ac:dyDescent="0.2">
      <c r="A49" s="5"/>
      <c r="D49"/>
      <c r="H49"/>
      <c r="K49"/>
    </row>
    <row r="50" spans="1:11" x14ac:dyDescent="0.2">
      <c r="A50" s="5"/>
      <c r="D50"/>
      <c r="H50"/>
      <c r="K50"/>
    </row>
    <row r="51" spans="1:11" x14ac:dyDescent="0.2">
      <c r="A51" s="5"/>
      <c r="D51"/>
      <c r="H51"/>
      <c r="K51"/>
    </row>
    <row r="52" spans="1:11" x14ac:dyDescent="0.2">
      <c r="A52" s="5"/>
      <c r="D52"/>
      <c r="H52"/>
      <c r="K52"/>
    </row>
    <row r="53" spans="1:11" x14ac:dyDescent="0.2">
      <c r="A53" s="5"/>
      <c r="D53"/>
      <c r="H53"/>
      <c r="K53"/>
    </row>
    <row r="54" spans="1:11" x14ac:dyDescent="0.2">
      <c r="A54" s="5"/>
      <c r="D54"/>
      <c r="H54"/>
      <c r="K54"/>
    </row>
    <row r="55" spans="1:11" x14ac:dyDescent="0.2">
      <c r="A55" s="5"/>
      <c r="D55"/>
      <c r="H55"/>
      <c r="K55"/>
    </row>
    <row r="56" spans="1:11" x14ac:dyDescent="0.2">
      <c r="D56"/>
      <c r="H56"/>
      <c r="K56"/>
    </row>
    <row r="57" spans="1:11" x14ac:dyDescent="0.2">
      <c r="D57"/>
      <c r="H57"/>
      <c r="K57"/>
    </row>
    <row r="58" spans="1:11" x14ac:dyDescent="0.2">
      <c r="D58"/>
      <c r="H58"/>
      <c r="K58"/>
    </row>
    <row r="59" spans="1:11" x14ac:dyDescent="0.2">
      <c r="D59"/>
      <c r="H59"/>
      <c r="K59"/>
    </row>
    <row r="60" spans="1:11" x14ac:dyDescent="0.2">
      <c r="D60"/>
      <c r="H60"/>
      <c r="K6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0"/>
  <dimension ref="A1:N48"/>
  <sheetViews>
    <sheetView zoomScale="120" zoomScaleNormal="120" workbookViewId="0">
      <selection activeCell="D40" sqref="D40"/>
    </sheetView>
  </sheetViews>
  <sheetFormatPr baseColWidth="10" defaultColWidth="8.83203125" defaultRowHeight="15" x14ac:dyDescent="0.2"/>
  <cols>
    <col min="1" max="1" width="34.83203125" bestFit="1" customWidth="1"/>
    <col min="2" max="2" width="11.5" style="3" bestFit="1" customWidth="1"/>
    <col min="3" max="3" width="20.5" bestFit="1" customWidth="1"/>
    <col min="4" max="4" width="11.5" bestFit="1" customWidth="1"/>
    <col min="6" max="6" width="11.5" bestFit="1" customWidth="1"/>
    <col min="10" max="10" width="18.83203125" bestFit="1" customWidth="1"/>
    <col min="11" max="11" width="11.5" bestFit="1" customWidth="1"/>
  </cols>
  <sheetData>
    <row r="1" spans="1:9" x14ac:dyDescent="0.2">
      <c r="A1" s="1" t="s">
        <v>46</v>
      </c>
      <c r="B1" s="3" t="s">
        <v>47</v>
      </c>
      <c r="E1" s="38" t="s">
        <v>48</v>
      </c>
    </row>
    <row r="2" spans="1:9" x14ac:dyDescent="0.2">
      <c r="A2" s="1" t="s">
        <v>49</v>
      </c>
    </row>
    <row r="3" spans="1:9" x14ac:dyDescent="0.2">
      <c r="A3" s="1" t="s">
        <v>50</v>
      </c>
    </row>
    <row r="4" spans="1:9" x14ac:dyDescent="0.2">
      <c r="A4" s="49" t="s">
        <v>36</v>
      </c>
      <c r="B4" s="4">
        <f>Salary!D2+Salary!S2</f>
        <v>20000</v>
      </c>
    </row>
    <row r="5" spans="1:9" x14ac:dyDescent="0.2">
      <c r="A5" s="49" t="s">
        <v>51</v>
      </c>
      <c r="B5" s="3">
        <f>Salary!N2</f>
        <v>0</v>
      </c>
    </row>
    <row r="6" spans="1:9" x14ac:dyDescent="0.2">
      <c r="A6" s="49" t="s">
        <v>52</v>
      </c>
      <c r="B6" s="3">
        <v>0</v>
      </c>
    </row>
    <row r="7" spans="1:9" x14ac:dyDescent="0.2">
      <c r="A7" s="49" t="s">
        <v>37</v>
      </c>
      <c r="B7" s="3">
        <f>Salary!I2</f>
        <v>10.059999999999999</v>
      </c>
    </row>
    <row r="8" spans="1:9" x14ac:dyDescent="0.2">
      <c r="A8" s="49" t="s">
        <v>53</v>
      </c>
      <c r="B8" s="4">
        <f>$B$7*(30/70)*0.8</f>
        <v>3.4491428571428564</v>
      </c>
      <c r="C8" t="s">
        <v>67</v>
      </c>
      <c r="I8" s="66" t="s">
        <v>149</v>
      </c>
    </row>
    <row r="9" spans="1:9" x14ac:dyDescent="0.2">
      <c r="A9" s="1" t="s">
        <v>54</v>
      </c>
    </row>
    <row r="10" spans="1:9" x14ac:dyDescent="0.2">
      <c r="A10" s="1" t="s">
        <v>177</v>
      </c>
      <c r="B10" s="3">
        <f>Westpac!P5+Raiz!P5</f>
        <v>-1.85</v>
      </c>
      <c r="D10" t="s">
        <v>96</v>
      </c>
    </row>
    <row r="11" spans="1:9" x14ac:dyDescent="0.2">
      <c r="A11" s="1"/>
    </row>
    <row r="12" spans="1:9" x14ac:dyDescent="0.2">
      <c r="A12" s="1"/>
    </row>
    <row r="13" spans="1:9" x14ac:dyDescent="0.2">
      <c r="A13" s="1"/>
    </row>
    <row r="14" spans="1:9" x14ac:dyDescent="0.2">
      <c r="A14" s="1"/>
    </row>
    <row r="15" spans="1:9" ht="16" thickBot="1" x14ac:dyDescent="0.25">
      <c r="A15" s="1" t="s">
        <v>55</v>
      </c>
      <c r="B15" s="21">
        <f>SUM(B4:B10)</f>
        <v>20011.659142857145</v>
      </c>
    </row>
    <row r="16" spans="1:9" ht="17" thickTop="1" thickBot="1" x14ac:dyDescent="0.25">
      <c r="A16" s="1"/>
    </row>
    <row r="17" spans="1:14" x14ac:dyDescent="0.2">
      <c r="A17" s="1" t="s">
        <v>56</v>
      </c>
      <c r="B17" s="3">
        <f>D18+D19*(B15-D20)</f>
        <v>344.21523714285746</v>
      </c>
      <c r="C17" s="46" t="s">
        <v>85</v>
      </c>
      <c r="D17" s="8"/>
      <c r="N17" t="s">
        <v>174</v>
      </c>
    </row>
    <row r="18" spans="1:14" x14ac:dyDescent="0.2">
      <c r="A18" s="1" t="s">
        <v>58</v>
      </c>
      <c r="C18" s="47" t="s">
        <v>86</v>
      </c>
      <c r="D18" s="54">
        <v>0</v>
      </c>
      <c r="E18" s="38" t="s">
        <v>57</v>
      </c>
    </row>
    <row r="19" spans="1:14" x14ac:dyDescent="0.2">
      <c r="A19" s="1"/>
      <c r="C19" s="47" t="s">
        <v>24</v>
      </c>
      <c r="D19" s="17">
        <f>IF(B15&gt;18200,0.19,0)</f>
        <v>0.19</v>
      </c>
    </row>
    <row r="20" spans="1:14" ht="16" thickBot="1" x14ac:dyDescent="0.25">
      <c r="A20" s="1"/>
      <c r="C20" s="48" t="s">
        <v>87</v>
      </c>
      <c r="D20" s="65">
        <f>IF(B15&gt;18200,18200,0)</f>
        <v>18200</v>
      </c>
    </row>
    <row r="21" spans="1:14" ht="16" thickBot="1" x14ac:dyDescent="0.25">
      <c r="A21" s="1"/>
    </row>
    <row r="22" spans="1:14" x14ac:dyDescent="0.2">
      <c r="A22" s="2" t="s">
        <v>59</v>
      </c>
      <c r="B22" s="3">
        <f>IF(B17=0,0,B15*D22)</f>
        <v>400.23318285714288</v>
      </c>
      <c r="C22" s="55" t="s">
        <v>94</v>
      </c>
      <c r="D22" s="57">
        <v>0.02</v>
      </c>
      <c r="E22" s="38" t="s">
        <v>60</v>
      </c>
    </row>
    <row r="23" spans="1:14" ht="16" thickBot="1" x14ac:dyDescent="0.25">
      <c r="A23" s="2" t="s">
        <v>61</v>
      </c>
      <c r="C23" s="58" t="s">
        <v>95</v>
      </c>
      <c r="D23" s="56">
        <v>0</v>
      </c>
      <c r="E23" s="38" t="s">
        <v>62</v>
      </c>
    </row>
    <row r="24" spans="1:14" x14ac:dyDescent="0.2">
      <c r="A24" s="1"/>
    </row>
    <row r="25" spans="1:14" x14ac:dyDescent="0.2">
      <c r="A25" s="1" t="s">
        <v>63</v>
      </c>
    </row>
    <row r="26" spans="1:14" x14ac:dyDescent="0.2">
      <c r="A26" s="1" t="s">
        <v>147</v>
      </c>
      <c r="C26" s="38" t="s">
        <v>146</v>
      </c>
    </row>
    <row r="27" spans="1:14" x14ac:dyDescent="0.2">
      <c r="A27" s="1" t="s">
        <v>148</v>
      </c>
    </row>
    <row r="28" spans="1:14" ht="16" thickBot="1" x14ac:dyDescent="0.25">
      <c r="A28" s="49" t="s">
        <v>64</v>
      </c>
      <c r="B28" s="3">
        <f>-B8</f>
        <v>-3.4491428571428564</v>
      </c>
    </row>
    <row r="29" spans="1:14" ht="16" thickBot="1" x14ac:dyDescent="0.25">
      <c r="A29" s="49" t="s">
        <v>65</v>
      </c>
      <c r="B29" s="3">
        <f>-Salary!S2</f>
        <v>0</v>
      </c>
      <c r="C29" s="63" t="s">
        <v>136</v>
      </c>
      <c r="D29" s="64"/>
    </row>
    <row r="30" spans="1:14" x14ac:dyDescent="0.2">
      <c r="A30" s="49"/>
    </row>
    <row r="31" spans="1:14" ht="16" thickBot="1" x14ac:dyDescent="0.25">
      <c r="A31" s="1" t="s">
        <v>66</v>
      </c>
      <c r="B31" s="21">
        <f>SUM(B17:B29)</f>
        <v>740.99927714285752</v>
      </c>
    </row>
    <row r="32" spans="1:14" ht="16" thickTop="1" x14ac:dyDescent="0.2"/>
    <row r="33" spans="1:2" x14ac:dyDescent="0.2">
      <c r="B33" s="59"/>
    </row>
    <row r="34" spans="1:2" x14ac:dyDescent="0.2">
      <c r="A34" t="s">
        <v>117</v>
      </c>
      <c r="B34" s="154" t="s">
        <v>116</v>
      </c>
    </row>
    <row r="35" spans="1:2" x14ac:dyDescent="0.2">
      <c r="A35" t="s">
        <v>115</v>
      </c>
    </row>
    <row r="37" spans="1:2" x14ac:dyDescent="0.2">
      <c r="A37" t="s">
        <v>97</v>
      </c>
      <c r="B37"/>
    </row>
    <row r="38" spans="1:2" x14ac:dyDescent="0.2">
      <c r="A38" t="s">
        <v>98</v>
      </c>
      <c r="B38"/>
    </row>
    <row r="39" spans="1:2" x14ac:dyDescent="0.2">
      <c r="B39"/>
    </row>
    <row r="40" spans="1:2" x14ac:dyDescent="0.2">
      <c r="A40" s="1" t="s">
        <v>100</v>
      </c>
      <c r="B40"/>
    </row>
    <row r="41" spans="1:2" x14ac:dyDescent="0.2">
      <c r="A41" s="61" t="s">
        <v>101</v>
      </c>
      <c r="B41"/>
    </row>
    <row r="42" spans="1:2" x14ac:dyDescent="0.2">
      <c r="A42" s="61" t="s">
        <v>102</v>
      </c>
      <c r="B42"/>
    </row>
    <row r="43" spans="1:2" x14ac:dyDescent="0.2">
      <c r="A43" s="61" t="s">
        <v>103</v>
      </c>
      <c r="B43"/>
    </row>
    <row r="44" spans="1:2" x14ac:dyDescent="0.2">
      <c r="A44" s="61" t="s">
        <v>104</v>
      </c>
      <c r="B44"/>
    </row>
    <row r="45" spans="1:2" x14ac:dyDescent="0.2">
      <c r="A45" s="61" t="s">
        <v>105</v>
      </c>
      <c r="B45"/>
    </row>
    <row r="46" spans="1:2" x14ac:dyDescent="0.2">
      <c r="A46" s="61" t="s">
        <v>106</v>
      </c>
      <c r="B46"/>
    </row>
    <row r="47" spans="1:2" x14ac:dyDescent="0.2">
      <c r="A47" s="61" t="s">
        <v>107</v>
      </c>
      <c r="B47"/>
    </row>
    <row r="48" spans="1:2" x14ac:dyDescent="0.2">
      <c r="A48" s="61" t="s">
        <v>108</v>
      </c>
      <c r="B48"/>
    </row>
  </sheetData>
  <conditionalFormatting sqref="B31">
    <cfRule type="cellIs" dxfId="1" priority="1" operator="greaterThan">
      <formula>0</formula>
    </cfRule>
    <cfRule type="cellIs" dxfId="0" priority="2" operator="lessThanOrEqual">
      <formula>0</formula>
    </cfRule>
  </conditionalFormatting>
  <hyperlinks>
    <hyperlink ref="E1" r:id="rId1" location="Example_Clare" xr:uid="{00000000-0004-0000-0600-000000000000}"/>
    <hyperlink ref="E18" r:id="rId2" xr:uid="{00000000-0004-0000-0600-000001000000}"/>
    <hyperlink ref="E22" r:id="rId3" xr:uid="{00000000-0004-0000-0600-000002000000}"/>
    <hyperlink ref="E23" r:id="rId4" xr:uid="{00000000-0004-0000-0600-000003000000}"/>
    <hyperlink ref="C26" r:id="rId5" location="Claimingyourrebate" xr:uid="{00000000-0004-0000-0600-000004000000}"/>
    <hyperlink ref="B34" r:id="rId6" xr:uid="{00000000-0004-0000-0600-000005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2"/>
  <dimension ref="A1:N20"/>
  <sheetViews>
    <sheetView workbookViewId="0">
      <selection activeCell="G7" sqref="G7"/>
    </sheetView>
  </sheetViews>
  <sheetFormatPr baseColWidth="10" defaultColWidth="8.83203125" defaultRowHeight="15" x14ac:dyDescent="0.2"/>
  <cols>
    <col min="1" max="1" width="24.6640625" bestFit="1" customWidth="1"/>
    <col min="2" max="2" width="11.33203125" style="3" bestFit="1" customWidth="1"/>
    <col min="3" max="3" width="10.1640625" bestFit="1" customWidth="1"/>
    <col min="4" max="4" width="10.33203125" bestFit="1" customWidth="1"/>
    <col min="6" max="7" width="10.33203125" bestFit="1" customWidth="1"/>
    <col min="14" max="14" width="10.1640625" style="3" bestFit="1" customWidth="1"/>
  </cols>
  <sheetData>
    <row r="1" spans="1:14" x14ac:dyDescent="0.2">
      <c r="B1" s="3" t="s">
        <v>128</v>
      </c>
      <c r="C1" t="s">
        <v>129</v>
      </c>
      <c r="D1" t="s">
        <v>130</v>
      </c>
      <c r="E1" t="s">
        <v>132</v>
      </c>
      <c r="F1" t="s">
        <v>133</v>
      </c>
      <c r="G1" t="s">
        <v>131</v>
      </c>
      <c r="H1" t="s">
        <v>123</v>
      </c>
      <c r="I1" t="s">
        <v>124</v>
      </c>
      <c r="J1" t="s">
        <v>122</v>
      </c>
      <c r="K1" t="s">
        <v>125</v>
      </c>
      <c r="L1" t="s">
        <v>126</v>
      </c>
      <c r="M1" t="s">
        <v>127</v>
      </c>
    </row>
    <row r="2" spans="1:14" x14ac:dyDescent="0.2">
      <c r="A2" s="16" t="s">
        <v>152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3">
        <f>SUM(B2:M2)</f>
        <v>0</v>
      </c>
    </row>
    <row r="3" spans="1:14" x14ac:dyDescent="0.2">
      <c r="A3" s="16" t="s">
        <v>26</v>
      </c>
      <c r="B3" s="78">
        <v>6.99</v>
      </c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3">
        <f t="shared" ref="N3:N10" si="0">SUM(B3:M3)</f>
        <v>6.99</v>
      </c>
    </row>
    <row r="4" spans="1:14" x14ac:dyDescent="0.2">
      <c r="A4" s="16" t="s">
        <v>68</v>
      </c>
      <c r="B4" s="78">
        <v>14.98</v>
      </c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3">
        <f t="shared" si="0"/>
        <v>14.98</v>
      </c>
    </row>
    <row r="5" spans="1:14" x14ac:dyDescent="0.2">
      <c r="A5" s="16" t="s">
        <v>27</v>
      </c>
      <c r="B5" s="78"/>
      <c r="H5" s="23"/>
      <c r="I5" s="23"/>
      <c r="J5" s="23"/>
      <c r="L5" s="23"/>
      <c r="M5" s="23"/>
      <c r="N5" s="3">
        <f t="shared" si="0"/>
        <v>0</v>
      </c>
    </row>
    <row r="6" spans="1:14" x14ac:dyDescent="0.2">
      <c r="A6" s="16" t="s">
        <v>28</v>
      </c>
      <c r="B6" s="78">
        <v>16.850000000000001</v>
      </c>
      <c r="E6" s="23"/>
      <c r="F6" s="23"/>
      <c r="G6" s="23"/>
      <c r="H6" s="23"/>
      <c r="J6" s="23"/>
      <c r="K6" s="23"/>
      <c r="L6" s="23"/>
      <c r="M6" s="23"/>
      <c r="N6" s="3">
        <f t="shared" si="0"/>
        <v>16.850000000000001</v>
      </c>
    </row>
    <row r="7" spans="1:14" x14ac:dyDescent="0.2">
      <c r="A7" s="16" t="s">
        <v>29</v>
      </c>
      <c r="B7" s="78">
        <v>50</v>
      </c>
      <c r="F7" s="23"/>
      <c r="H7" s="23"/>
      <c r="J7" s="23"/>
      <c r="K7" s="23"/>
      <c r="L7" s="23"/>
      <c r="M7" s="23"/>
      <c r="N7" s="3">
        <f t="shared" si="0"/>
        <v>50</v>
      </c>
    </row>
    <row r="8" spans="1:14" x14ac:dyDescent="0.2">
      <c r="A8" s="16" t="s">
        <v>30</v>
      </c>
      <c r="F8" s="23"/>
      <c r="G8" s="23"/>
      <c r="H8" s="23"/>
      <c r="I8" s="23"/>
      <c r="J8" s="23"/>
      <c r="K8" s="23"/>
      <c r="L8" s="23"/>
      <c r="M8" s="23"/>
      <c r="N8" s="3">
        <f t="shared" si="0"/>
        <v>0</v>
      </c>
    </row>
    <row r="9" spans="1:14" x14ac:dyDescent="0.2">
      <c r="A9" s="18" t="s">
        <v>31</v>
      </c>
      <c r="B9" s="78">
        <v>29.9</v>
      </c>
      <c r="C9">
        <v>66.48</v>
      </c>
      <c r="F9" s="23"/>
      <c r="J9" s="23"/>
      <c r="K9" s="23"/>
      <c r="L9" s="23"/>
      <c r="N9" s="3">
        <f t="shared" si="0"/>
        <v>96.38</v>
      </c>
    </row>
    <row r="10" spans="1:14" x14ac:dyDescent="0.2">
      <c r="A10" s="18" t="s">
        <v>32</v>
      </c>
      <c r="G10" s="23"/>
      <c r="H10" s="23"/>
      <c r="I10" s="23"/>
      <c r="J10" s="23"/>
      <c r="K10" s="23"/>
      <c r="L10" s="23"/>
      <c r="N10" s="3">
        <f t="shared" si="0"/>
        <v>0</v>
      </c>
    </row>
    <row r="11" spans="1:14" x14ac:dyDescent="0.2">
      <c r="A11" s="62" t="s">
        <v>195</v>
      </c>
      <c r="G11" s="23"/>
      <c r="H11" s="23"/>
      <c r="I11" s="23"/>
      <c r="J11" s="23"/>
      <c r="N11" s="3">
        <f>SUM(B11:M11)</f>
        <v>0</v>
      </c>
    </row>
    <row r="12" spans="1:14" x14ac:dyDescent="0.2">
      <c r="B12" s="78"/>
      <c r="N12" s="3">
        <f t="shared" ref="N12:N19" si="1">SUM(B12:M12)</f>
        <v>0</v>
      </c>
    </row>
    <row r="13" spans="1:14" x14ac:dyDescent="0.2">
      <c r="N13" s="3">
        <f t="shared" si="1"/>
        <v>0</v>
      </c>
    </row>
    <row r="14" spans="1:14" x14ac:dyDescent="0.2">
      <c r="N14" s="3">
        <f t="shared" si="1"/>
        <v>0</v>
      </c>
    </row>
    <row r="15" spans="1:14" x14ac:dyDescent="0.2">
      <c r="N15" s="3">
        <f t="shared" si="1"/>
        <v>0</v>
      </c>
    </row>
    <row r="16" spans="1:14" x14ac:dyDescent="0.2">
      <c r="A16" s="16" t="s">
        <v>33</v>
      </c>
      <c r="B16" s="78"/>
      <c r="N16" s="3">
        <f t="shared" si="1"/>
        <v>0</v>
      </c>
    </row>
    <row r="17" spans="1:14" x14ac:dyDescent="0.2">
      <c r="B17" s="78"/>
      <c r="N17" s="3">
        <f t="shared" si="1"/>
        <v>0</v>
      </c>
    </row>
    <row r="18" spans="1:14" x14ac:dyDescent="0.2">
      <c r="B18" s="78"/>
      <c r="N18" s="3">
        <f t="shared" si="1"/>
        <v>0</v>
      </c>
    </row>
    <row r="19" spans="1:14" x14ac:dyDescent="0.2">
      <c r="N19" s="3">
        <f t="shared" si="1"/>
        <v>0</v>
      </c>
    </row>
    <row r="20" spans="1:14" x14ac:dyDescent="0.2">
      <c r="A20" t="s">
        <v>72</v>
      </c>
      <c r="B20" s="3">
        <f>SUM(B2:B19)</f>
        <v>118.72</v>
      </c>
      <c r="C20" s="3">
        <f t="shared" ref="C20:M20" si="2">SUM(C2:C19)</f>
        <v>66.48</v>
      </c>
      <c r="D20" s="3">
        <f t="shared" si="2"/>
        <v>0</v>
      </c>
      <c r="E20" s="3">
        <f t="shared" si="2"/>
        <v>0</v>
      </c>
      <c r="F20" s="3">
        <f t="shared" si="2"/>
        <v>0</v>
      </c>
      <c r="G20" s="3">
        <f t="shared" si="2"/>
        <v>0</v>
      </c>
      <c r="H20" s="3">
        <f t="shared" si="2"/>
        <v>0</v>
      </c>
      <c r="I20" s="3">
        <f t="shared" si="2"/>
        <v>0</v>
      </c>
      <c r="J20" s="3">
        <f t="shared" si="2"/>
        <v>0</v>
      </c>
      <c r="K20" s="3">
        <f t="shared" si="2"/>
        <v>0</v>
      </c>
      <c r="L20" s="3">
        <f t="shared" si="2"/>
        <v>0</v>
      </c>
      <c r="M20" s="3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BCFEF-90F4-47F2-AD21-EB9788379B7C}">
  <sheetPr codeName="Sheet93"/>
  <dimension ref="A1:O202"/>
  <sheetViews>
    <sheetView workbookViewId="0">
      <selection activeCell="O2" sqref="O2"/>
    </sheetView>
  </sheetViews>
  <sheetFormatPr baseColWidth="10" defaultColWidth="8.83203125" defaultRowHeight="15" x14ac:dyDescent="0.2"/>
  <cols>
    <col min="1" max="1" width="22.6640625" style="3" bestFit="1" customWidth="1"/>
    <col min="2" max="2" width="8.83203125" style="3"/>
    <col min="3" max="3" width="10.33203125" style="3" bestFit="1" customWidth="1"/>
    <col min="4" max="4" width="8.83203125" style="3"/>
    <col min="5" max="5" width="10.33203125" style="3" bestFit="1" customWidth="1"/>
    <col min="6" max="16384" width="8.83203125" style="3"/>
  </cols>
  <sheetData>
    <row r="1" spans="1:15" x14ac:dyDescent="0.2">
      <c r="A1" t="s">
        <v>0</v>
      </c>
      <c r="B1" s="3" t="s">
        <v>128</v>
      </c>
      <c r="C1" t="s">
        <v>129</v>
      </c>
      <c r="D1" t="s">
        <v>130</v>
      </c>
      <c r="E1" t="s">
        <v>132</v>
      </c>
      <c r="F1" t="s">
        <v>133</v>
      </c>
      <c r="G1" t="s">
        <v>131</v>
      </c>
      <c r="H1" t="s">
        <v>123</v>
      </c>
      <c r="I1" t="s">
        <v>124</v>
      </c>
      <c r="J1" t="s">
        <v>122</v>
      </c>
      <c r="K1" t="s">
        <v>125</v>
      </c>
      <c r="L1" t="s">
        <v>126</v>
      </c>
      <c r="M1" t="s">
        <v>127</v>
      </c>
    </row>
    <row r="2" spans="1:15" x14ac:dyDescent="0.2">
      <c r="A2" s="3" t="s">
        <v>203</v>
      </c>
      <c r="E2" s="3">
        <v>27.123424657534247</v>
      </c>
      <c r="N2" s="3">
        <f>IF(SNum!N2 = "","", SUMPRODUCT(B2:M2,SNum!B2:M2)/SNum!N2)</f>
        <v>27.123424657534247</v>
      </c>
    </row>
    <row r="3" spans="1:15" x14ac:dyDescent="0.2">
      <c r="N3" s="3" t="str">
        <f>IF(SNum!N3 = "","", SUMPRODUCT(B3:M3,SNum!B3:M3)/SNum!N3)</f>
        <v/>
      </c>
      <c r="O3" s="3" t="str">
        <f>IF(SNum!N3="","",SUMPRODUCT(B3:M3,SNum!B3:M3))</f>
        <v/>
      </c>
    </row>
    <row r="4" spans="1:15" x14ac:dyDescent="0.2">
      <c r="A4" s="6"/>
      <c r="N4" s="3" t="str">
        <f>IF(SNum!N4 = "","", SUMPRODUCT(B4:M4,SNum!B4:M4)/SNum!N4)</f>
        <v/>
      </c>
      <c r="O4" s="3" t="str">
        <f>IF(SNum!N4="","",SUMPRODUCT(B4:M4,SNum!B4:M4))</f>
        <v/>
      </c>
    </row>
    <row r="5" spans="1:15" x14ac:dyDescent="0.2">
      <c r="A5" s="6"/>
      <c r="N5" s="3" t="str">
        <f>IF(SNum!N5 = "","", SUMPRODUCT(B5:M5,SNum!B5:M5)/SNum!N5)</f>
        <v/>
      </c>
      <c r="O5" s="3" t="str">
        <f>IF(SNum!N5="","",SUMPRODUCT(B5:M5,SNum!B5:M5))</f>
        <v/>
      </c>
    </row>
    <row r="6" spans="1:15" x14ac:dyDescent="0.2">
      <c r="A6" s="6"/>
      <c r="N6" s="3" t="str">
        <f>IF(SNum!N6 = "","", SUMPRODUCT(B6:M6,SNum!B6:M6)/SNum!N6)</f>
        <v/>
      </c>
      <c r="O6" s="3" t="str">
        <f>IF(SNum!N6="","",SUMPRODUCT(B6:M6,SNum!B6:M6))</f>
        <v/>
      </c>
    </row>
    <row r="7" spans="1:15" x14ac:dyDescent="0.2">
      <c r="A7" s="6"/>
      <c r="N7" s="3" t="str">
        <f>IF(SNum!N7 = "","", SUMPRODUCT(B7:M7,SNum!B7:M7)/SNum!N7)</f>
        <v/>
      </c>
      <c r="O7" s="3" t="str">
        <f>IF(SNum!N7="","",SUMPRODUCT(B7:M7,SNum!B7:M7))</f>
        <v/>
      </c>
    </row>
    <row r="8" spans="1:15" x14ac:dyDescent="0.2">
      <c r="A8" s="6"/>
      <c r="N8" s="3" t="str">
        <f>IF(SNum!N8 = "","", SUMPRODUCT(B8:M8,SNum!B8:M8)/SNum!N8)</f>
        <v/>
      </c>
      <c r="O8" s="3" t="str">
        <f>IF(SNum!N8="","",SUMPRODUCT(B8:M8,SNum!B8:M8))</f>
        <v/>
      </c>
    </row>
    <row r="9" spans="1:15" x14ac:dyDescent="0.2">
      <c r="A9" s="6"/>
      <c r="N9" s="3" t="str">
        <f>IF(SNum!N9 = "","", SUMPRODUCT(B9:M9,SNum!B9:M9)/SNum!N9)</f>
        <v/>
      </c>
      <c r="O9" s="3" t="str">
        <f>IF(SNum!N9="","",SUMPRODUCT(B9:M9,SNum!B9:M9))</f>
        <v/>
      </c>
    </row>
    <row r="10" spans="1:15" x14ac:dyDescent="0.2">
      <c r="A10" s="247"/>
      <c r="N10" s="3" t="str">
        <f>IF(SNum!N10 = "","", SUMPRODUCT(B10:M10,SNum!B10:M10)/SNum!N10)</f>
        <v/>
      </c>
      <c r="O10" s="3" t="str">
        <f>IF(SNum!N10="","",SUMPRODUCT(B10:M10,SNum!B10:M10))</f>
        <v/>
      </c>
    </row>
    <row r="11" spans="1:15" x14ac:dyDescent="0.2">
      <c r="A11" s="247"/>
      <c r="N11" s="3" t="str">
        <f>IF(SNum!N11 = "","", SUMPRODUCT(B11:M11,SNum!B11:M11)/SNum!N11)</f>
        <v/>
      </c>
      <c r="O11" s="3" t="str">
        <f>IF(SNum!N11="","",SUMPRODUCT(B11:M11,SNum!B11:M11))</f>
        <v/>
      </c>
    </row>
    <row r="12" spans="1:15" x14ac:dyDescent="0.2">
      <c r="A12" s="6"/>
      <c r="N12" s="3" t="str">
        <f>IF(SNum!N12 = "","", SUMPRODUCT(B12:M12,SNum!B12:M12)/SNum!N12)</f>
        <v/>
      </c>
      <c r="O12" s="3" t="str">
        <f>IF(SNum!N12="","",SUMPRODUCT(B12:M12,SNum!B12:M12))</f>
        <v/>
      </c>
    </row>
    <row r="13" spans="1:15" x14ac:dyDescent="0.2">
      <c r="N13" s="3" t="str">
        <f>IF(SNum!N13 = "","", SUMPRODUCT(B13:M13,SNum!B13:M13)/SNum!N13)</f>
        <v/>
      </c>
      <c r="O13" s="3" t="str">
        <f>IF(SNum!N13="","",SUMPRODUCT(B13:M13,SNum!B13:M13))</f>
        <v/>
      </c>
    </row>
    <row r="14" spans="1:15" x14ac:dyDescent="0.2">
      <c r="N14" s="3" t="str">
        <f>IF(SNum!N14 = "","", SUMPRODUCT(B14:M14,SNum!B14:M14)/SNum!N14)</f>
        <v/>
      </c>
      <c r="O14" s="3" t="str">
        <f>IF(SNum!N14="","",SUMPRODUCT(B14:M14,SNum!B14:M14))</f>
        <v/>
      </c>
    </row>
    <row r="15" spans="1:15" x14ac:dyDescent="0.2">
      <c r="N15" s="3" t="str">
        <f>IF(SNum!N15 = "","", SUMPRODUCT(B15:M15,SNum!B15:M15)/SNum!N15)</f>
        <v/>
      </c>
      <c r="O15" s="3" t="str">
        <f>IF(SNum!N15="","",SUMPRODUCT(B15:M15,SNum!B15:M15))</f>
        <v/>
      </c>
    </row>
    <row r="16" spans="1:15" x14ac:dyDescent="0.2">
      <c r="N16" s="3" t="str">
        <f>IF(SNum!N16 = "","", SUMPRODUCT(B16:M16,SNum!B16:M16)/SNum!N16)</f>
        <v/>
      </c>
      <c r="O16" s="3" t="str">
        <f>IF(SNum!N16="","",SUMPRODUCT(B16:M16,SNum!B16:M16))</f>
        <v/>
      </c>
    </row>
    <row r="17" spans="14:15" x14ac:dyDescent="0.2">
      <c r="N17" s="3" t="str">
        <f>IF(SNum!N17 = "","", SUMPRODUCT(B17:M17,SNum!B17:M17)/SNum!N17)</f>
        <v/>
      </c>
      <c r="O17" s="3" t="str">
        <f>IF(SNum!N17="","",SUMPRODUCT(B17:M17,SNum!B17:M17))</f>
        <v/>
      </c>
    </row>
    <row r="18" spans="14:15" x14ac:dyDescent="0.2">
      <c r="N18" s="3" t="str">
        <f>IF(SNum!N18 = "","", SUMPRODUCT(B18:M18,SNum!B18:M18)/SNum!N18)</f>
        <v/>
      </c>
      <c r="O18" s="3" t="str">
        <f>IF(SNum!N18="","",SUMPRODUCT(B18:M18,SNum!B18:M18))</f>
        <v/>
      </c>
    </row>
    <row r="19" spans="14:15" x14ac:dyDescent="0.2">
      <c r="N19" s="3" t="str">
        <f>IF(SNum!N19 = "","", SUMPRODUCT(B19:M19,SNum!B19:M19)/SNum!N19)</f>
        <v/>
      </c>
      <c r="O19" s="3" t="str">
        <f>IF(SNum!N19="","",SUMPRODUCT(B19:M19,SNum!B19:M19))</f>
        <v/>
      </c>
    </row>
    <row r="20" spans="14:15" x14ac:dyDescent="0.2">
      <c r="N20" s="3" t="str">
        <f>IF(SNum!N20 = "","", SUMPRODUCT(B20:M20,SNum!B20:M20)/SNum!N20)</f>
        <v/>
      </c>
      <c r="O20" s="3" t="str">
        <f>IF(SNum!N20="","",SUMPRODUCT(B20:M20,SNum!B20:M20))</f>
        <v/>
      </c>
    </row>
    <row r="21" spans="14:15" x14ac:dyDescent="0.2">
      <c r="N21" s="3" t="str">
        <f>IF(SNum!N21 = "","", SUMPRODUCT(B21:M21,SNum!B21:M21)/SNum!N21)</f>
        <v/>
      </c>
      <c r="O21" s="3" t="str">
        <f>IF(SNum!N21="","",SUMPRODUCT(B21:M21,SNum!B21:M21))</f>
        <v/>
      </c>
    </row>
    <row r="22" spans="14:15" x14ac:dyDescent="0.2">
      <c r="N22" s="3" t="str">
        <f>IF(SNum!N22 = "","", SUMPRODUCT(B22:M22,SNum!B22:M22)/SNum!N22)</f>
        <v/>
      </c>
      <c r="O22" s="3" t="str">
        <f>IF(SNum!N22="","",SUMPRODUCT(B22:M22,SNum!B22:M22))</f>
        <v/>
      </c>
    </row>
    <row r="23" spans="14:15" x14ac:dyDescent="0.2">
      <c r="N23" s="3" t="str">
        <f>IF(SNum!N23 = "","", SUMPRODUCT(B23:M23,SNum!B23:M23)/SNum!N23)</f>
        <v/>
      </c>
      <c r="O23" s="3" t="str">
        <f>IF(SNum!N23="","",SUMPRODUCT(B23:M23,SNum!B23:M23))</f>
        <v/>
      </c>
    </row>
    <row r="24" spans="14:15" x14ac:dyDescent="0.2">
      <c r="N24" s="3" t="str">
        <f>IF(SNum!N24 = "","", SUMPRODUCT(B24:M24,SNum!B24:M24)/SNum!N24)</f>
        <v/>
      </c>
      <c r="O24" s="3" t="str">
        <f>IF(SNum!N24="","",SUMPRODUCT(B24:M24,SNum!B24:M24))</f>
        <v/>
      </c>
    </row>
    <row r="25" spans="14:15" x14ac:dyDescent="0.2">
      <c r="N25" s="3" t="str">
        <f>IF(SNum!N25 = "","", SUMPRODUCT(B25:M25,SNum!B25:M25)/SNum!N25)</f>
        <v/>
      </c>
      <c r="O25" s="3" t="str">
        <f>IF(SNum!N25="","",SUMPRODUCT(B25:M25,SNum!B25:M25))</f>
        <v/>
      </c>
    </row>
    <row r="26" spans="14:15" x14ac:dyDescent="0.2">
      <c r="N26" s="3" t="str">
        <f>IF(SNum!N26 = "","", SUMPRODUCT(B26:M26,SNum!B26:M26)/SNum!N26)</f>
        <v/>
      </c>
      <c r="O26" s="3" t="str">
        <f>IF(SNum!N26="","",SUMPRODUCT(B26:M26,SNum!B26:M26))</f>
        <v/>
      </c>
    </row>
    <row r="27" spans="14:15" x14ac:dyDescent="0.2">
      <c r="N27" s="3" t="str">
        <f>IF(SNum!N27 = "","", SUMPRODUCT(B27:M27,SNum!B27:M27)/SNum!N27)</f>
        <v/>
      </c>
      <c r="O27" s="3" t="str">
        <f>IF(SNum!N27="","",SUMPRODUCT(B27:M27,SNum!B27:M27))</f>
        <v/>
      </c>
    </row>
    <row r="28" spans="14:15" x14ac:dyDescent="0.2">
      <c r="N28" s="3" t="str">
        <f>IF(SNum!N28 = "","", SUMPRODUCT(B28:M28,SNum!B28:M28)/SNum!N28)</f>
        <v/>
      </c>
      <c r="O28" s="3" t="str">
        <f>IF(SNum!N28="","",SUMPRODUCT(B28:M28,SNum!B28:M28))</f>
        <v/>
      </c>
    </row>
    <row r="29" spans="14:15" x14ac:dyDescent="0.2">
      <c r="N29" s="3" t="str">
        <f>IF(SNum!N29 = "","", SUMPRODUCT(B29:M29,SNum!B29:M29)/SNum!N29)</f>
        <v/>
      </c>
      <c r="O29" s="3" t="str">
        <f>IF(SNum!N29="","",SUMPRODUCT(B29:M29,SNum!B29:M29))</f>
        <v/>
      </c>
    </row>
    <row r="30" spans="14:15" x14ac:dyDescent="0.2">
      <c r="N30" s="3" t="str">
        <f>IF(SNum!N30 = "","", SUMPRODUCT(B30:M30,SNum!B30:M30)/SNum!N30)</f>
        <v/>
      </c>
      <c r="O30" s="3" t="str">
        <f>IF(SNum!N30="","",SUMPRODUCT(B30:M30,SNum!B30:M30))</f>
        <v/>
      </c>
    </row>
    <row r="31" spans="14:15" x14ac:dyDescent="0.2">
      <c r="N31" s="3" t="str">
        <f>IF(SNum!N31 = "","", SUMPRODUCT(B31:M31,SNum!B31:M31)/SNum!N31)</f>
        <v/>
      </c>
      <c r="O31" s="3" t="str">
        <f>IF(SNum!N31="","",SUMPRODUCT(B31:M31,SNum!B31:M31))</f>
        <v/>
      </c>
    </row>
    <row r="32" spans="14:15" x14ac:dyDescent="0.2">
      <c r="N32" s="3" t="str">
        <f>IF(SNum!N32 = "","", SUMPRODUCT(B32:M32,SNum!B32:M32)/SNum!N32)</f>
        <v/>
      </c>
      <c r="O32" s="3" t="str">
        <f>IF(SNum!N32="","",SUMPRODUCT(B32:M32,SNum!B32:M32))</f>
        <v/>
      </c>
    </row>
    <row r="33" spans="14:15" x14ac:dyDescent="0.2">
      <c r="N33" s="3" t="str">
        <f>IF(SNum!N33 = "","", SUMPRODUCT(B33:M33,SNum!B33:M33)/SNum!N33)</f>
        <v/>
      </c>
      <c r="O33" s="3" t="str">
        <f>IF(SNum!N33="","",SUMPRODUCT(B33:M33,SNum!B33:M33))</f>
        <v/>
      </c>
    </row>
    <row r="34" spans="14:15" x14ac:dyDescent="0.2">
      <c r="N34" s="3" t="str">
        <f>IF(SNum!N34 = "","", SUMPRODUCT(B34:M34,SNum!B34:M34)/SNum!N34)</f>
        <v/>
      </c>
      <c r="O34" s="3" t="str">
        <f>IF(SNum!N34="","",SUMPRODUCT(B34:M34,SNum!B34:M34))</f>
        <v/>
      </c>
    </row>
    <row r="35" spans="14:15" x14ac:dyDescent="0.2">
      <c r="N35" s="3" t="str">
        <f>IF(SNum!N35 = "","", SUMPRODUCT(B35:M35,SNum!B35:M35)/SNum!N35)</f>
        <v/>
      </c>
      <c r="O35" s="3" t="str">
        <f>IF(SNum!N35="","",SUMPRODUCT(B35:M35,SNum!B35:M35))</f>
        <v/>
      </c>
    </row>
    <row r="36" spans="14:15" x14ac:dyDescent="0.2">
      <c r="N36" s="3" t="str">
        <f>IF(SNum!N36 = "","", SUMPRODUCT(B36:M36,SNum!B36:M36)/SNum!N36)</f>
        <v/>
      </c>
      <c r="O36" s="3" t="str">
        <f>IF(SNum!N36="","",SUMPRODUCT(B36:M36,SNum!B36:M36))</f>
        <v/>
      </c>
    </row>
    <row r="37" spans="14:15" x14ac:dyDescent="0.2">
      <c r="N37" s="3" t="str">
        <f>IF(SNum!N37 = "","", SUMPRODUCT(B37:M37,SNum!B37:M37)/SNum!N37)</f>
        <v/>
      </c>
      <c r="O37" s="3" t="str">
        <f>IF(SNum!N37="","",SUMPRODUCT(B37:M37,SNum!B37:M37))</f>
        <v/>
      </c>
    </row>
    <row r="38" spans="14:15" x14ac:dyDescent="0.2">
      <c r="N38" s="3" t="str">
        <f>IF(SNum!N38 = "","", SUMPRODUCT(B38:M38,SNum!B38:M38)/SNum!N38)</f>
        <v/>
      </c>
      <c r="O38" s="3" t="str">
        <f>IF(SNum!N38="","",SUMPRODUCT(B38:M38,SNum!B38:M38))</f>
        <v/>
      </c>
    </row>
    <row r="39" spans="14:15" x14ac:dyDescent="0.2">
      <c r="N39" s="3" t="str">
        <f>IF(SNum!N39 = "","", SUMPRODUCT(B39:M39,SNum!B39:M39)/SNum!N39)</f>
        <v/>
      </c>
      <c r="O39" s="3" t="str">
        <f>IF(SNum!N39="","",SUMPRODUCT(B39:M39,SNum!B39:M39))</f>
        <v/>
      </c>
    </row>
    <row r="40" spans="14:15" x14ac:dyDescent="0.2">
      <c r="N40" s="3" t="str">
        <f>IF(SNum!N40 = "","", SUMPRODUCT(B40:M40,SNum!B40:M40)/SNum!N40)</f>
        <v/>
      </c>
      <c r="O40" s="3" t="str">
        <f>IF(SNum!N40="","",SUMPRODUCT(B40:M40,SNum!B40:M40))</f>
        <v/>
      </c>
    </row>
    <row r="41" spans="14:15" x14ac:dyDescent="0.2">
      <c r="N41" s="3" t="str">
        <f>IF(SNum!N41 = "","", SUMPRODUCT(B41:M41,SNum!B41:M41)/SNum!N41)</f>
        <v/>
      </c>
      <c r="O41" s="3" t="str">
        <f>IF(SNum!N41="","",SUMPRODUCT(B41:M41,SNum!B41:M41))</f>
        <v/>
      </c>
    </row>
    <row r="42" spans="14:15" x14ac:dyDescent="0.2">
      <c r="N42" s="3" t="str">
        <f>IF(SNum!N42 = "","", SUMPRODUCT(B42:M42,SNum!B42:M42)/SNum!N42)</f>
        <v/>
      </c>
      <c r="O42" s="3" t="str">
        <f>IF(SNum!N42="","",SUMPRODUCT(B42:M42,SNum!B42:M42))</f>
        <v/>
      </c>
    </row>
    <row r="43" spans="14:15" x14ac:dyDescent="0.2">
      <c r="N43" s="3" t="str">
        <f>IF(SNum!N43 = "","", SUMPRODUCT(B43:M43,SNum!B43:M43)/SNum!N43)</f>
        <v/>
      </c>
      <c r="O43" s="3" t="str">
        <f>IF(SNum!N43="","",SUMPRODUCT(B43:M43,SNum!B43:M43))</f>
        <v/>
      </c>
    </row>
    <row r="44" spans="14:15" x14ac:dyDescent="0.2">
      <c r="N44" s="3" t="str">
        <f>IF(SNum!N44 = "","", SUMPRODUCT(B44:M44,SNum!B44:M44)/SNum!N44)</f>
        <v/>
      </c>
      <c r="O44" s="3" t="str">
        <f>IF(SNum!N44="","",SUMPRODUCT(B44:M44,SNum!B44:M44))</f>
        <v/>
      </c>
    </row>
    <row r="45" spans="14:15" x14ac:dyDescent="0.2">
      <c r="N45" s="3" t="str">
        <f>IF(SNum!N45 = "","", SUMPRODUCT(B45:M45,SNum!B45:M45)/SNum!N45)</f>
        <v/>
      </c>
      <c r="O45" s="3" t="str">
        <f>IF(SNum!N45="","",SUMPRODUCT(B45:M45,SNum!B45:M45))</f>
        <v/>
      </c>
    </row>
    <row r="46" spans="14:15" x14ac:dyDescent="0.2">
      <c r="N46" s="3" t="str">
        <f>IF(SNum!N46 = "","", SUMPRODUCT(B46:M46,SNum!B46:M46)/SNum!N46)</f>
        <v/>
      </c>
      <c r="O46" s="3" t="str">
        <f>IF(SNum!N46="","",SUMPRODUCT(B46:M46,SNum!B46:M46))</f>
        <v/>
      </c>
    </row>
    <row r="47" spans="14:15" x14ac:dyDescent="0.2">
      <c r="N47" s="3" t="str">
        <f>IF(SNum!N47 = "","", SUMPRODUCT(B47:M47,SNum!B47:M47)/SNum!N47)</f>
        <v/>
      </c>
      <c r="O47" s="3" t="str">
        <f>IF(SNum!N47="","",SUMPRODUCT(B47:M47,SNum!B47:M47))</f>
        <v/>
      </c>
    </row>
    <row r="48" spans="14:15" x14ac:dyDescent="0.2">
      <c r="N48" s="3" t="str">
        <f>IF(SNum!N48 = "","", SUMPRODUCT(B48:M48,SNum!B48:M48)/SNum!N48)</f>
        <v/>
      </c>
      <c r="O48" s="3" t="str">
        <f>IF(SNum!N48="","",SUMPRODUCT(B48:M48,SNum!B48:M48))</f>
        <v/>
      </c>
    </row>
    <row r="49" spans="14:15" x14ac:dyDescent="0.2">
      <c r="N49" s="3" t="str">
        <f>IF(SNum!N49 = "","", SUMPRODUCT(B49:M49,SNum!B49:M49)/SNum!N49)</f>
        <v/>
      </c>
      <c r="O49" s="3" t="str">
        <f>IF(SNum!N49="","",SUMPRODUCT(B49:M49,SNum!B49:M49))</f>
        <v/>
      </c>
    </row>
    <row r="50" spans="14:15" x14ac:dyDescent="0.2">
      <c r="N50" s="3" t="str">
        <f>IF(SNum!N50 = "","", SUMPRODUCT(B50:M50,SNum!B50:M50)/SNum!N50)</f>
        <v/>
      </c>
      <c r="O50" s="3" t="str">
        <f>IF(SNum!N50="","",SUMPRODUCT(B50:M50,SNum!B50:M50))</f>
        <v/>
      </c>
    </row>
    <row r="51" spans="14:15" x14ac:dyDescent="0.2">
      <c r="N51" s="3" t="str">
        <f>IF(SNum!N51 = "","", SUMPRODUCT(B51:M51,SNum!B51:M51)/SNum!N51)</f>
        <v/>
      </c>
      <c r="O51" s="3" t="str">
        <f>IF(SNum!N51="","",SUMPRODUCT(B51:M51,SNum!B51:M51))</f>
        <v/>
      </c>
    </row>
    <row r="52" spans="14:15" x14ac:dyDescent="0.2">
      <c r="N52" s="3" t="str">
        <f>IF(SNum!N52 = "","", SUMPRODUCT(B52:M52,SNum!B52:M52)/SNum!N52)</f>
        <v/>
      </c>
      <c r="O52" s="3" t="str">
        <f>IF(SNum!N52="","",SUMPRODUCT(B52:M52,SNum!B52:M52))</f>
        <v/>
      </c>
    </row>
    <row r="53" spans="14:15" x14ac:dyDescent="0.2">
      <c r="N53" s="3" t="str">
        <f>IF(SNum!N53 = "","", SUMPRODUCT(B53:M53,SNum!B53:M53)/SNum!N53)</f>
        <v/>
      </c>
      <c r="O53" s="3" t="str">
        <f>IF(SNum!N53="","",SUMPRODUCT(B53:M53,SNum!B53:M53))</f>
        <v/>
      </c>
    </row>
    <row r="54" spans="14:15" x14ac:dyDescent="0.2">
      <c r="N54" s="3" t="str">
        <f>IF(SNum!N54 = "","", SUMPRODUCT(B54:M54,SNum!B54:M54)/SNum!N54)</f>
        <v/>
      </c>
      <c r="O54" s="3" t="str">
        <f>IF(SNum!N54="","",SUMPRODUCT(B54:M54,SNum!B54:M54))</f>
        <v/>
      </c>
    </row>
    <row r="55" spans="14:15" x14ac:dyDescent="0.2">
      <c r="N55" s="3" t="str">
        <f>IF(SNum!N55 = "","", SUMPRODUCT(B55:M55,SNum!B55:M55)/SNum!N55)</f>
        <v/>
      </c>
      <c r="O55" s="3" t="str">
        <f>IF(SNum!N55="","",SUMPRODUCT(B55:M55,SNum!B55:M55))</f>
        <v/>
      </c>
    </row>
    <row r="56" spans="14:15" x14ac:dyDescent="0.2">
      <c r="N56" s="3" t="str">
        <f>IF(SNum!N56 = "","", SUMPRODUCT(B56:M56,SNum!B56:M56)/SNum!N56)</f>
        <v/>
      </c>
      <c r="O56" s="3" t="str">
        <f>IF(SNum!N56="","",SUMPRODUCT(B56:M56,SNum!B56:M56))</f>
        <v/>
      </c>
    </row>
    <row r="57" spans="14:15" x14ac:dyDescent="0.2">
      <c r="N57" s="3" t="str">
        <f>IF(SNum!N57 = "","", SUMPRODUCT(B57:M57,SNum!B57:M57)/SNum!N57)</f>
        <v/>
      </c>
      <c r="O57" s="3" t="str">
        <f>IF(SNum!N57="","",SUMPRODUCT(B57:M57,SNum!B57:M57))</f>
        <v/>
      </c>
    </row>
    <row r="58" spans="14:15" x14ac:dyDescent="0.2">
      <c r="N58" s="3" t="str">
        <f>IF(SNum!N58 = "","", SUMPRODUCT(B58:M58,SNum!B58:M58)/SNum!N58)</f>
        <v/>
      </c>
      <c r="O58" s="3" t="str">
        <f>IF(SNum!N58="","",SUMPRODUCT(B58:M58,SNum!B58:M58))</f>
        <v/>
      </c>
    </row>
    <row r="59" spans="14:15" x14ac:dyDescent="0.2">
      <c r="N59" s="3" t="str">
        <f>IF(SNum!N59 = "","", SUMPRODUCT(B59:M59,SNum!B59:M59)/SNum!N59)</f>
        <v/>
      </c>
      <c r="O59" s="3" t="str">
        <f>IF(SNum!N59="","",SUMPRODUCT(B59:M59,SNum!B59:M59))</f>
        <v/>
      </c>
    </row>
    <row r="60" spans="14:15" x14ac:dyDescent="0.2">
      <c r="N60" s="3" t="str">
        <f>IF(SNum!N60 = "","", SUMPRODUCT(B60:M60,SNum!B60:M60)/SNum!N60)</f>
        <v/>
      </c>
      <c r="O60" s="3" t="str">
        <f>IF(SNum!N60="","",SUMPRODUCT(B60:M60,SNum!B60:M60))</f>
        <v/>
      </c>
    </row>
    <row r="61" spans="14:15" x14ac:dyDescent="0.2">
      <c r="N61" s="3" t="str">
        <f>IF(SNum!N61 = "","", SUMPRODUCT(B61:M61,SNum!B61:M61)/SNum!N61)</f>
        <v/>
      </c>
      <c r="O61" s="3" t="str">
        <f>IF(SNum!N61="","",SUMPRODUCT(B61:M61,SNum!B61:M61))</f>
        <v/>
      </c>
    </row>
    <row r="62" spans="14:15" x14ac:dyDescent="0.2">
      <c r="N62" s="3" t="str">
        <f>IF(SNum!N62 = "","", SUMPRODUCT(B62:M62,SNum!B62:M62)/SNum!N62)</f>
        <v/>
      </c>
      <c r="O62" s="3" t="str">
        <f>IF(SNum!N62="","",SUMPRODUCT(B62:M62,SNum!B62:M62))</f>
        <v/>
      </c>
    </row>
    <row r="63" spans="14:15" x14ac:dyDescent="0.2">
      <c r="N63" s="3" t="str">
        <f>IF(SNum!N63 = "","", SUMPRODUCT(B63:M63,SNum!B63:M63)/SNum!N63)</f>
        <v/>
      </c>
      <c r="O63" s="3" t="str">
        <f>IF(SNum!N63="","",SUMPRODUCT(B63:M63,SNum!B63:M63))</f>
        <v/>
      </c>
    </row>
    <row r="64" spans="14:15" x14ac:dyDescent="0.2">
      <c r="N64" s="3" t="str">
        <f>IF(SNum!N64 = "","", SUMPRODUCT(B64:M64,SNum!B64:M64)/SNum!N64)</f>
        <v/>
      </c>
      <c r="O64" s="3" t="str">
        <f>IF(SNum!N64="","",SUMPRODUCT(B64:M64,SNum!B64:M64))</f>
        <v/>
      </c>
    </row>
    <row r="65" spans="14:15" x14ac:dyDescent="0.2">
      <c r="N65" s="3" t="str">
        <f>IF(SNum!N65 = "","", SUMPRODUCT(B65:M65,SNum!B65:M65)/SNum!N65)</f>
        <v/>
      </c>
      <c r="O65" s="3" t="str">
        <f>IF(SNum!N65="","",SUMPRODUCT(B65:M65,SNum!B65:M65))</f>
        <v/>
      </c>
    </row>
    <row r="66" spans="14:15" x14ac:dyDescent="0.2">
      <c r="N66" s="3" t="str">
        <f>IF(SNum!N66 = "","", SUMPRODUCT(B66:M66,SNum!B66:M66)/SNum!N66)</f>
        <v/>
      </c>
      <c r="O66" s="3" t="str">
        <f>IF(SNum!N66="","",SUMPRODUCT(B66:M66,SNum!B66:M66))</f>
        <v/>
      </c>
    </row>
    <row r="67" spans="14:15" x14ac:dyDescent="0.2">
      <c r="N67" s="3" t="str">
        <f>IF(SNum!N67 = "","", SUMPRODUCT(B67:M67,SNum!B67:M67)/SNum!N67)</f>
        <v/>
      </c>
      <c r="O67" s="3" t="str">
        <f>IF(SNum!N67="","",SUMPRODUCT(B67:M67,SNum!B67:M67))</f>
        <v/>
      </c>
    </row>
    <row r="68" spans="14:15" x14ac:dyDescent="0.2">
      <c r="N68" s="3" t="str">
        <f>IF(SNum!N68 = "","", SUMPRODUCT(B68:M68,SNum!B68:M68)/SNum!N68)</f>
        <v/>
      </c>
      <c r="O68" s="3" t="str">
        <f>IF(SNum!N68="","",SUMPRODUCT(B68:M68,SNum!B68:M68))</f>
        <v/>
      </c>
    </row>
    <row r="69" spans="14:15" x14ac:dyDescent="0.2">
      <c r="N69" s="3" t="str">
        <f>IF(SNum!N69 = "","", SUMPRODUCT(B69:M69,SNum!B69:M69)/SNum!N69)</f>
        <v/>
      </c>
      <c r="O69" s="3" t="str">
        <f>IF(SNum!N69="","",SUMPRODUCT(B69:M69,SNum!B69:M69))</f>
        <v/>
      </c>
    </row>
    <row r="70" spans="14:15" x14ac:dyDescent="0.2">
      <c r="N70" s="3" t="str">
        <f>IF(SNum!N70 = "","", SUMPRODUCT(B70:M70,SNum!B70:M70)/SNum!N70)</f>
        <v/>
      </c>
      <c r="O70" s="3" t="str">
        <f>IF(SNum!N70="","",SUMPRODUCT(B70:M70,SNum!B70:M70))</f>
        <v/>
      </c>
    </row>
    <row r="71" spans="14:15" x14ac:dyDescent="0.2">
      <c r="N71" s="3" t="str">
        <f>IF(SNum!N71 = "","", SUMPRODUCT(B71:M71,SNum!B71:M71)/SNum!N71)</f>
        <v/>
      </c>
      <c r="O71" s="3" t="str">
        <f>IF(SNum!N71="","",SUMPRODUCT(B71:M71,SNum!B71:M71))</f>
        <v/>
      </c>
    </row>
    <row r="72" spans="14:15" x14ac:dyDescent="0.2">
      <c r="N72" s="3" t="str">
        <f>IF(SNum!N72 = "","", SUMPRODUCT(B72:M72,SNum!B72:M72)/SNum!N72)</f>
        <v/>
      </c>
      <c r="O72" s="3" t="str">
        <f>IF(SNum!N72="","",SUMPRODUCT(B72:M72,SNum!B72:M72))</f>
        <v/>
      </c>
    </row>
    <row r="73" spans="14:15" x14ac:dyDescent="0.2">
      <c r="N73" s="3" t="str">
        <f>IF(SNum!N73 = "","", SUMPRODUCT(B73:M73,SNum!B73:M73)/SNum!N73)</f>
        <v/>
      </c>
      <c r="O73" s="3" t="str">
        <f>IF(SNum!N73="","",SUMPRODUCT(B73:M73,SNum!B73:M73))</f>
        <v/>
      </c>
    </row>
    <row r="74" spans="14:15" x14ac:dyDescent="0.2">
      <c r="N74" s="3" t="str">
        <f>IF(SNum!N74 = "","", SUMPRODUCT(B74:M74,SNum!B74:M74)/SNum!N74)</f>
        <v/>
      </c>
      <c r="O74" s="3" t="str">
        <f>IF(SNum!N74="","",SUMPRODUCT(B74:M74,SNum!B74:M74))</f>
        <v/>
      </c>
    </row>
    <row r="75" spans="14:15" x14ac:dyDescent="0.2">
      <c r="N75" s="3" t="str">
        <f>IF(SNum!N75 = "","", SUMPRODUCT(B75:M75,SNum!B75:M75)/SNum!N75)</f>
        <v/>
      </c>
      <c r="O75" s="3" t="str">
        <f>IF(SNum!N75="","",SUMPRODUCT(B75:M75,SNum!B75:M75))</f>
        <v/>
      </c>
    </row>
    <row r="76" spans="14:15" x14ac:dyDescent="0.2">
      <c r="N76" s="3" t="str">
        <f>IF(SNum!N76 = "","", SUMPRODUCT(B76:M76,SNum!B76:M76)/SNum!N76)</f>
        <v/>
      </c>
      <c r="O76" s="3" t="str">
        <f>IF(SNum!N76="","",SUMPRODUCT(B76:M76,SNum!B76:M76))</f>
        <v/>
      </c>
    </row>
    <row r="77" spans="14:15" x14ac:dyDescent="0.2">
      <c r="N77" s="3" t="str">
        <f>IF(SNum!N77 = "","", SUMPRODUCT(B77:M77,SNum!B77:M77)/SNum!N77)</f>
        <v/>
      </c>
      <c r="O77" s="3" t="str">
        <f>IF(SNum!N77="","",SUMPRODUCT(B77:M77,SNum!B77:M77))</f>
        <v/>
      </c>
    </row>
    <row r="78" spans="14:15" x14ac:dyDescent="0.2">
      <c r="N78" s="3" t="str">
        <f>IF(SNum!N78 = "","", SUMPRODUCT(B78:M78,SNum!B78:M78)/SNum!N78)</f>
        <v/>
      </c>
      <c r="O78" s="3" t="str">
        <f>IF(SNum!N78="","",SUMPRODUCT(B78:M78,SNum!B78:M78))</f>
        <v/>
      </c>
    </row>
    <row r="79" spans="14:15" x14ac:dyDescent="0.2">
      <c r="N79" s="3" t="str">
        <f>IF(SNum!N79 = "","", SUMPRODUCT(B79:M79,SNum!B79:M79)/SNum!N79)</f>
        <v/>
      </c>
      <c r="O79" s="3" t="str">
        <f>IF(SNum!N79="","",SUMPRODUCT(B79:M79,SNum!B79:M79))</f>
        <v/>
      </c>
    </row>
    <row r="80" spans="14:15" x14ac:dyDescent="0.2">
      <c r="N80" s="3" t="str">
        <f>IF(SNum!N80 = "","", SUMPRODUCT(B80:M80,SNum!B80:M80)/SNum!N80)</f>
        <v/>
      </c>
      <c r="O80" s="3" t="str">
        <f>IF(SNum!N80="","",SUMPRODUCT(B80:M80,SNum!B80:M80))</f>
        <v/>
      </c>
    </row>
    <row r="81" spans="14:15" x14ac:dyDescent="0.2">
      <c r="N81" s="3" t="str">
        <f>IF(SNum!N81 = "","", SUMPRODUCT(B81:M81,SNum!B81:M81)/SNum!N81)</f>
        <v/>
      </c>
      <c r="O81" s="3" t="str">
        <f>IF(SNum!N81="","",SUMPRODUCT(B81:M81,SNum!B81:M81))</f>
        <v/>
      </c>
    </row>
    <row r="82" spans="14:15" x14ac:dyDescent="0.2">
      <c r="N82" s="3" t="str">
        <f>IF(SNum!N82 = "","", SUMPRODUCT(B82:M82,SNum!B82:M82)/SNum!N82)</f>
        <v/>
      </c>
      <c r="O82" s="3" t="str">
        <f>IF(SNum!N82="","",SUMPRODUCT(B82:M82,SNum!B82:M82))</f>
        <v/>
      </c>
    </row>
    <row r="83" spans="14:15" x14ac:dyDescent="0.2">
      <c r="N83" s="3" t="str">
        <f>IF(SNum!N83 = "","", SUMPRODUCT(B83:M83,SNum!B83:M83)/SNum!N83)</f>
        <v/>
      </c>
      <c r="O83" s="3" t="str">
        <f>IF(SNum!N83="","",SUMPRODUCT(B83:M83,SNum!B83:M83))</f>
        <v/>
      </c>
    </row>
    <row r="84" spans="14:15" x14ac:dyDescent="0.2">
      <c r="N84" s="3" t="str">
        <f>IF(SNum!N84 = "","", SUMPRODUCT(B84:M84,SNum!B84:M84)/SNum!N84)</f>
        <v/>
      </c>
      <c r="O84" s="3" t="str">
        <f>IF(SNum!N84="","",SUMPRODUCT(B84:M84,SNum!B84:M84))</f>
        <v/>
      </c>
    </row>
    <row r="85" spans="14:15" x14ac:dyDescent="0.2">
      <c r="N85" s="3" t="str">
        <f>IF(SNum!N85 = "","", SUMPRODUCT(B85:M85,SNum!B85:M85)/SNum!N85)</f>
        <v/>
      </c>
      <c r="O85" s="3" t="str">
        <f>IF(SNum!N85="","",SUMPRODUCT(B85:M85,SNum!B85:M85))</f>
        <v/>
      </c>
    </row>
    <row r="86" spans="14:15" x14ac:dyDescent="0.2">
      <c r="N86" s="3" t="str">
        <f>IF(SNum!N86 = "","", SUMPRODUCT(B86:M86,SNum!B86:M86)/SNum!N86)</f>
        <v/>
      </c>
      <c r="O86" s="3" t="str">
        <f>IF(SNum!N86="","",SUMPRODUCT(B86:M86,SNum!B86:M86))</f>
        <v/>
      </c>
    </row>
    <row r="87" spans="14:15" x14ac:dyDescent="0.2">
      <c r="N87" s="3" t="str">
        <f>IF(SNum!N87 = "","", SUMPRODUCT(B87:M87,SNum!B87:M87)/SNum!N87)</f>
        <v/>
      </c>
      <c r="O87" s="3" t="str">
        <f>IF(SNum!N87="","",SUMPRODUCT(B87:M87,SNum!B87:M87))</f>
        <v/>
      </c>
    </row>
    <row r="88" spans="14:15" x14ac:dyDescent="0.2">
      <c r="N88" s="3" t="str">
        <f>IF(SNum!N88 = "","", SUMPRODUCT(B88:M88,SNum!B88:M88)/SNum!N88)</f>
        <v/>
      </c>
      <c r="O88" s="3" t="str">
        <f>IF(SNum!N88="","",SUMPRODUCT(B88:M88,SNum!B88:M88))</f>
        <v/>
      </c>
    </row>
    <row r="89" spans="14:15" x14ac:dyDescent="0.2">
      <c r="N89" s="3" t="str">
        <f>IF(SNum!N89 = "","", SUMPRODUCT(B89:M89,SNum!B89:M89)/SNum!N89)</f>
        <v/>
      </c>
      <c r="O89" s="3" t="str">
        <f>IF(SNum!N89="","",SUMPRODUCT(B89:M89,SNum!B89:M89))</f>
        <v/>
      </c>
    </row>
    <row r="90" spans="14:15" x14ac:dyDescent="0.2">
      <c r="N90" s="3" t="str">
        <f>IF(SNum!N90 = "","", SUMPRODUCT(B90:M90,SNum!B90:M90)/SNum!N90)</f>
        <v/>
      </c>
      <c r="O90" s="3" t="str">
        <f>IF(SNum!N90="","",SUMPRODUCT(B90:M90,SNum!B90:M90))</f>
        <v/>
      </c>
    </row>
    <row r="91" spans="14:15" x14ac:dyDescent="0.2">
      <c r="N91" s="3" t="str">
        <f>IF(SNum!N91 = "","", SUMPRODUCT(B91:M91,SNum!B91:M91)/SNum!N91)</f>
        <v/>
      </c>
      <c r="O91" s="3" t="str">
        <f>IF(SNum!N91="","",SUMPRODUCT(B91:M91,SNum!B91:M91))</f>
        <v/>
      </c>
    </row>
    <row r="92" spans="14:15" x14ac:dyDescent="0.2">
      <c r="N92" s="3" t="str">
        <f>IF(SNum!N92 = "","", SUMPRODUCT(B92:M92,SNum!B92:M92)/SNum!N92)</f>
        <v/>
      </c>
      <c r="O92" s="3" t="str">
        <f>IF(SNum!N92="","",SUMPRODUCT(B92:M92,SNum!B92:M92))</f>
        <v/>
      </c>
    </row>
    <row r="93" spans="14:15" x14ac:dyDescent="0.2">
      <c r="N93" s="3" t="str">
        <f>IF(SNum!N93 = "","", SUMPRODUCT(B93:M93,SNum!B93:M93)/SNum!N93)</f>
        <v/>
      </c>
      <c r="O93" s="3" t="str">
        <f>IF(SNum!N93="","",SUMPRODUCT(B93:M93,SNum!B93:M93))</f>
        <v/>
      </c>
    </row>
    <row r="94" spans="14:15" x14ac:dyDescent="0.2">
      <c r="N94" s="3" t="str">
        <f>IF(SNum!N94 = "","", SUMPRODUCT(B94:M94,SNum!B94:M94)/SNum!N94)</f>
        <v/>
      </c>
      <c r="O94" s="3" t="str">
        <f>IF(SNum!N94="","",SUMPRODUCT(B94:M94,SNum!B94:M94))</f>
        <v/>
      </c>
    </row>
    <row r="95" spans="14:15" x14ac:dyDescent="0.2">
      <c r="N95" s="3" t="str">
        <f>IF(SNum!N95 = "","", SUMPRODUCT(B95:M95,SNum!B95:M95)/SNum!N95)</f>
        <v/>
      </c>
      <c r="O95" s="3" t="str">
        <f>IF(SNum!N95="","",SUMPRODUCT(B95:M95,SNum!B95:M95))</f>
        <v/>
      </c>
    </row>
    <row r="96" spans="14:15" x14ac:dyDescent="0.2">
      <c r="N96" s="3" t="str">
        <f>IF(SNum!N96 = "","", SUMPRODUCT(B96:M96,SNum!B96:M96)/SNum!N96)</f>
        <v/>
      </c>
      <c r="O96" s="3" t="str">
        <f>IF(SNum!N96="","",SUMPRODUCT(B96:M96,SNum!B96:M96))</f>
        <v/>
      </c>
    </row>
    <row r="97" spans="14:15" x14ac:dyDescent="0.2">
      <c r="N97" s="3" t="str">
        <f>IF(SNum!N97 = "","", SUMPRODUCT(B97:M97,SNum!B97:M97)/SNum!N97)</f>
        <v/>
      </c>
      <c r="O97" s="3" t="str">
        <f>IF(SNum!N97="","",SUMPRODUCT(B97:M97,SNum!B97:M97))</f>
        <v/>
      </c>
    </row>
    <row r="98" spans="14:15" x14ac:dyDescent="0.2">
      <c r="N98" s="3" t="str">
        <f>IF(SNum!N98 = "","", SUMPRODUCT(B98:M98,SNum!B98:M98)/SNum!N98)</f>
        <v/>
      </c>
      <c r="O98" s="3" t="str">
        <f>IF(SNum!N98="","",SUMPRODUCT(B98:M98,SNum!B98:M98))</f>
        <v/>
      </c>
    </row>
    <row r="99" spans="14:15" x14ac:dyDescent="0.2">
      <c r="N99" s="3" t="str">
        <f>IF(SNum!N99 = "","", SUMPRODUCT(B99:M99,SNum!B99:M99)/SNum!N99)</f>
        <v/>
      </c>
      <c r="O99" s="3" t="str">
        <f>IF(SNum!N99="","",SUMPRODUCT(B99:M99,SNum!B99:M99))</f>
        <v/>
      </c>
    </row>
    <row r="100" spans="14:15" x14ac:dyDescent="0.2">
      <c r="N100" s="3" t="str">
        <f>IF(SNum!N100 = "","", SUMPRODUCT(B100:M100,SNum!B100:M100)/SNum!N100)</f>
        <v/>
      </c>
      <c r="O100" s="3" t="str">
        <f>IF(SNum!N100="","",SUMPRODUCT(B100:M100,SNum!B100:M100))</f>
        <v/>
      </c>
    </row>
    <row r="101" spans="14:15" x14ac:dyDescent="0.2">
      <c r="N101" s="3" t="str">
        <f>IF(SNum!N101 = "","", SUMPRODUCT(B101:M101,SNum!B101:M101)/SNum!N101)</f>
        <v/>
      </c>
      <c r="O101" s="3" t="str">
        <f>IF(SNum!N101="","",SUMPRODUCT(B101:M101,SNum!B101:M101))</f>
        <v/>
      </c>
    </row>
    <row r="102" spans="14:15" x14ac:dyDescent="0.2">
      <c r="N102" s="3" t="str">
        <f>IF(SNum!N102 = "","", SUMPRODUCT(B102:M102,SNum!B102:M102)/SNum!N102)</f>
        <v/>
      </c>
      <c r="O102" s="3" t="str">
        <f>IF(SNum!N102="","",SUMPRODUCT(B102:M102,SNum!B102:M102))</f>
        <v/>
      </c>
    </row>
    <row r="103" spans="14:15" x14ac:dyDescent="0.2">
      <c r="N103" s="3" t="str">
        <f>IF(SNum!N103 = "","", SUMPRODUCT(B103:M103,SNum!B103:M103)/SNum!N103)</f>
        <v/>
      </c>
      <c r="O103" s="3" t="str">
        <f>IF(SNum!N103="","",SUMPRODUCT(B103:M103,SNum!B103:M103))</f>
        <v/>
      </c>
    </row>
    <row r="104" spans="14:15" x14ac:dyDescent="0.2">
      <c r="N104" s="3" t="str">
        <f>IF(SNum!N104 = "","", SUMPRODUCT(B104:M104,SNum!B104:M104)/SNum!N104)</f>
        <v/>
      </c>
      <c r="O104" s="3" t="str">
        <f>IF(SNum!N104="","",SUMPRODUCT(B104:M104,SNum!B104:M104))</f>
        <v/>
      </c>
    </row>
    <row r="105" spans="14:15" x14ac:dyDescent="0.2">
      <c r="N105" s="3" t="str">
        <f>IF(SNum!N105 = "","", SUMPRODUCT(B105:M105,SNum!B105:M105)/SNum!N105)</f>
        <v/>
      </c>
      <c r="O105" s="3" t="str">
        <f>IF(SNum!N105="","",SUMPRODUCT(B105:M105,SNum!B105:M105))</f>
        <v/>
      </c>
    </row>
    <row r="106" spans="14:15" x14ac:dyDescent="0.2">
      <c r="N106" s="3" t="str">
        <f>IF(SNum!N106 = "","", SUMPRODUCT(B106:M106,SNum!B106:M106)/SNum!N106)</f>
        <v/>
      </c>
      <c r="O106" s="3" t="str">
        <f>IF(SNum!N106="","",SUMPRODUCT(B106:M106,SNum!B106:M106))</f>
        <v/>
      </c>
    </row>
    <row r="107" spans="14:15" x14ac:dyDescent="0.2">
      <c r="N107" s="3" t="str">
        <f>IF(SNum!N107 = "","", SUMPRODUCT(B107:M107,SNum!B107:M107)/SNum!N107)</f>
        <v/>
      </c>
      <c r="O107" s="3" t="str">
        <f>IF(SNum!N107="","",SUMPRODUCT(B107:M107,SNum!B107:M107))</f>
        <v/>
      </c>
    </row>
    <row r="108" spans="14:15" x14ac:dyDescent="0.2">
      <c r="N108" s="3" t="str">
        <f>IF(SNum!N108 = "","", SUMPRODUCT(B108:M108,SNum!B108:M108)/SNum!N108)</f>
        <v/>
      </c>
      <c r="O108" s="3" t="str">
        <f>IF(SNum!N108="","",SUMPRODUCT(B108:M108,SNum!B108:M108))</f>
        <v/>
      </c>
    </row>
    <row r="109" spans="14:15" x14ac:dyDescent="0.2">
      <c r="N109" s="3" t="str">
        <f>IF(SNum!N109 = "","", SUMPRODUCT(B109:M109,SNum!B109:M109)/SNum!N109)</f>
        <v/>
      </c>
      <c r="O109" s="3" t="str">
        <f>IF(SNum!N109="","",SUMPRODUCT(B109:M109,SNum!B109:M109))</f>
        <v/>
      </c>
    </row>
    <row r="110" spans="14:15" x14ac:dyDescent="0.2">
      <c r="N110" s="3" t="str">
        <f>IF(SNum!N110 = "","", SUMPRODUCT(B110:M110,SNum!B110:M110)/SNum!N110)</f>
        <v/>
      </c>
      <c r="O110" s="3" t="str">
        <f>IF(SNum!N110="","",SUMPRODUCT(B110:M110,SNum!B110:M110))</f>
        <v/>
      </c>
    </row>
    <row r="111" spans="14:15" x14ac:dyDescent="0.2">
      <c r="N111" s="3" t="str">
        <f>IF(SNum!N111 = "","", SUMPRODUCT(B111:M111,SNum!B111:M111)/SNum!N111)</f>
        <v/>
      </c>
      <c r="O111" s="3" t="str">
        <f>IF(SNum!N111="","",SUMPRODUCT(B111:M111,SNum!B111:M111))</f>
        <v/>
      </c>
    </row>
    <row r="112" spans="14:15" x14ac:dyDescent="0.2">
      <c r="N112" s="3" t="str">
        <f>IF(SNum!N112 = "","", SUMPRODUCT(B112:M112,SNum!B112:M112)/SNum!N112)</f>
        <v/>
      </c>
      <c r="O112" s="3" t="str">
        <f>IF(SNum!N112="","",SUMPRODUCT(B112:M112,SNum!B112:M112))</f>
        <v/>
      </c>
    </row>
    <row r="113" spans="14:15" x14ac:dyDescent="0.2">
      <c r="N113" s="3" t="str">
        <f>IF(SNum!N113 = "","", SUMPRODUCT(B113:M113,SNum!B113:M113)/SNum!N113)</f>
        <v/>
      </c>
      <c r="O113" s="3" t="str">
        <f>IF(SNum!N113="","",SUMPRODUCT(B113:M113,SNum!B113:M113))</f>
        <v/>
      </c>
    </row>
    <row r="114" spans="14:15" x14ac:dyDescent="0.2">
      <c r="N114" s="3" t="str">
        <f>IF(SNum!N114 = "","", SUMPRODUCT(B114:M114,SNum!B114:M114)/SNum!N114)</f>
        <v/>
      </c>
      <c r="O114" s="3" t="str">
        <f>IF(SNum!N114="","",SUMPRODUCT(B114:M114,SNum!B114:M114))</f>
        <v/>
      </c>
    </row>
    <row r="115" spans="14:15" x14ac:dyDescent="0.2">
      <c r="N115" s="3" t="str">
        <f>IF(SNum!N115 = "","", SUMPRODUCT(B115:M115,SNum!B115:M115)/SNum!N115)</f>
        <v/>
      </c>
      <c r="O115" s="3" t="str">
        <f>IF(SNum!N115="","",SUMPRODUCT(B115:M115,SNum!B115:M115))</f>
        <v/>
      </c>
    </row>
    <row r="116" spans="14:15" x14ac:dyDescent="0.2">
      <c r="N116" s="3" t="str">
        <f>IF(SNum!N116 = "","", SUMPRODUCT(B116:M116,SNum!B116:M116)/SNum!N116)</f>
        <v/>
      </c>
      <c r="O116" s="3" t="str">
        <f>IF(SNum!N116="","",SUMPRODUCT(B116:M116,SNum!B116:M116))</f>
        <v/>
      </c>
    </row>
    <row r="117" spans="14:15" x14ac:dyDescent="0.2">
      <c r="N117" s="3" t="str">
        <f>IF(SNum!N117 = "","", SUMPRODUCT(B117:M117,SNum!B117:M117)/SNum!N117)</f>
        <v/>
      </c>
      <c r="O117" s="3" t="str">
        <f>IF(SNum!N117="","",SUMPRODUCT(B117:M117,SNum!B117:M117))</f>
        <v/>
      </c>
    </row>
    <row r="118" spans="14:15" x14ac:dyDescent="0.2">
      <c r="N118" s="3" t="str">
        <f>IF(SNum!N118 = "","", SUMPRODUCT(B118:M118,SNum!B118:M118)/SNum!N118)</f>
        <v/>
      </c>
      <c r="O118" s="3" t="str">
        <f>IF(SNum!N118="","",SUMPRODUCT(B118:M118,SNum!B118:M118))</f>
        <v/>
      </c>
    </row>
    <row r="119" spans="14:15" x14ac:dyDescent="0.2">
      <c r="N119" s="3" t="str">
        <f>IF(SNum!N119 = "","", SUMPRODUCT(B119:M119,SNum!B119:M119)/SNum!N119)</f>
        <v/>
      </c>
      <c r="O119" s="3" t="str">
        <f>IF(SNum!N119="","",SUMPRODUCT(B119:M119,SNum!B119:M119))</f>
        <v/>
      </c>
    </row>
    <row r="120" spans="14:15" x14ac:dyDescent="0.2">
      <c r="N120" s="3" t="str">
        <f>IF(SNum!N120 = "","", SUMPRODUCT(B120:M120,SNum!B120:M120)/SNum!N120)</f>
        <v/>
      </c>
      <c r="O120" s="3" t="str">
        <f>IF(SNum!N120="","",SUMPRODUCT(B120:M120,SNum!B120:M120))</f>
        <v/>
      </c>
    </row>
    <row r="121" spans="14:15" x14ac:dyDescent="0.2">
      <c r="N121" s="3" t="str">
        <f>IF(SNum!N121 = "","", SUMPRODUCT(B121:M121,SNum!B121:M121)/SNum!N121)</f>
        <v/>
      </c>
      <c r="O121" s="3" t="str">
        <f>IF(SNum!N121="","",SUMPRODUCT(B121:M121,SNum!B121:M121))</f>
        <v/>
      </c>
    </row>
    <row r="122" spans="14:15" x14ac:dyDescent="0.2">
      <c r="N122" s="3" t="str">
        <f>IF(SNum!N122 = "","", SUMPRODUCT(B122:M122,SNum!B122:M122)/SNum!N122)</f>
        <v/>
      </c>
      <c r="O122" s="3" t="str">
        <f>IF(SNum!N122="","",SUMPRODUCT(B122:M122,SNum!B122:M122))</f>
        <v/>
      </c>
    </row>
    <row r="123" spans="14:15" x14ac:dyDescent="0.2">
      <c r="N123" s="3" t="str">
        <f>IF(SNum!N123 = "","", SUMPRODUCT(B123:M123,SNum!B123:M123)/SNum!N123)</f>
        <v/>
      </c>
      <c r="O123" s="3" t="str">
        <f>IF(SNum!N123="","",SUMPRODUCT(B123:M123,SNum!B123:M123))</f>
        <v/>
      </c>
    </row>
    <row r="124" spans="14:15" x14ac:dyDescent="0.2">
      <c r="N124" s="3" t="str">
        <f>IF(SNum!N124 = "","", SUMPRODUCT(B124:M124,SNum!B124:M124)/SNum!N124)</f>
        <v/>
      </c>
      <c r="O124" s="3" t="str">
        <f>IF(SNum!N124="","",SUMPRODUCT(B124:M124,SNum!B124:M124))</f>
        <v/>
      </c>
    </row>
    <row r="125" spans="14:15" x14ac:dyDescent="0.2">
      <c r="N125" s="3" t="str">
        <f>IF(SNum!N125 = "","", SUMPRODUCT(B125:M125,SNum!B125:M125)/SNum!N125)</f>
        <v/>
      </c>
      <c r="O125" s="3" t="str">
        <f>IF(SNum!N125="","",SUMPRODUCT(B125:M125,SNum!B125:M125))</f>
        <v/>
      </c>
    </row>
    <row r="126" spans="14:15" x14ac:dyDescent="0.2">
      <c r="N126" s="3" t="str">
        <f>IF(SNum!N126 = "","", SUMPRODUCT(B126:M126,SNum!B126:M126)/SNum!N126)</f>
        <v/>
      </c>
      <c r="O126" s="3" t="str">
        <f>IF(SNum!N126="","",SUMPRODUCT(B126:M126,SNum!B126:M126))</f>
        <v/>
      </c>
    </row>
    <row r="127" spans="14:15" x14ac:dyDescent="0.2">
      <c r="N127" s="3" t="str">
        <f>IF(SNum!N127 = "","", SUMPRODUCT(B127:M127,SNum!B127:M127)/SNum!N127)</f>
        <v/>
      </c>
      <c r="O127" s="3" t="str">
        <f>IF(SNum!N127="","",SUMPRODUCT(B127:M127,SNum!B127:M127))</f>
        <v/>
      </c>
    </row>
    <row r="128" spans="14:15" x14ac:dyDescent="0.2">
      <c r="N128" s="3" t="str">
        <f>IF(SNum!N128 = "","", SUMPRODUCT(B128:M128,SNum!B128:M128)/SNum!N128)</f>
        <v/>
      </c>
      <c r="O128" s="3" t="str">
        <f>IF(SNum!N128="","",SUMPRODUCT(B128:M128,SNum!B128:M128))</f>
        <v/>
      </c>
    </row>
    <row r="129" spans="14:15" x14ac:dyDescent="0.2">
      <c r="N129" s="3" t="str">
        <f>IF(SNum!N129 = "","", SUMPRODUCT(B129:M129,SNum!B129:M129)/SNum!N129)</f>
        <v/>
      </c>
      <c r="O129" s="3" t="str">
        <f>IF(SNum!N129="","",SUMPRODUCT(B129:M129,SNum!B129:M129))</f>
        <v/>
      </c>
    </row>
    <row r="130" spans="14:15" x14ac:dyDescent="0.2">
      <c r="N130" s="3" t="str">
        <f>IF(SNum!N130 = "","", SUMPRODUCT(B130:M130,SNum!B130:M130)/SNum!N130)</f>
        <v/>
      </c>
      <c r="O130" s="3" t="str">
        <f>IF(SNum!N130="","",SUMPRODUCT(B130:M130,SNum!B130:M130))</f>
        <v/>
      </c>
    </row>
    <row r="131" spans="14:15" x14ac:dyDescent="0.2">
      <c r="N131" s="3" t="str">
        <f>IF(SNum!N131 = "","", SUMPRODUCT(B131:M131,SNum!B131:M131)/SNum!N131)</f>
        <v/>
      </c>
      <c r="O131" s="3" t="str">
        <f>IF(SNum!N131="","",SUMPRODUCT(B131:M131,SNum!B131:M131))</f>
        <v/>
      </c>
    </row>
    <row r="132" spans="14:15" x14ac:dyDescent="0.2">
      <c r="N132" s="3" t="str">
        <f>IF(SNum!N132 = "","", SUMPRODUCT(B132:M132,SNum!B132:M132)/SNum!N132)</f>
        <v/>
      </c>
      <c r="O132" s="3" t="str">
        <f>IF(SNum!N132="","",SUMPRODUCT(B132:M132,SNum!B132:M132))</f>
        <v/>
      </c>
    </row>
    <row r="133" spans="14:15" x14ac:dyDescent="0.2">
      <c r="N133" s="3" t="str">
        <f>IF(SNum!N133 = "","", SUMPRODUCT(B133:M133,SNum!B133:M133)/SNum!N133)</f>
        <v/>
      </c>
      <c r="O133" s="3" t="str">
        <f>IF(SNum!N133="","",SUMPRODUCT(B133:M133,SNum!B133:M133))</f>
        <v/>
      </c>
    </row>
    <row r="134" spans="14:15" x14ac:dyDescent="0.2">
      <c r="N134" s="3" t="str">
        <f>IF(SNum!N134 = "","", SUMPRODUCT(B134:M134,SNum!B134:M134)/SNum!N134)</f>
        <v/>
      </c>
      <c r="O134" s="3" t="str">
        <f>IF(SNum!N134="","",SUMPRODUCT(B134:M134,SNum!B134:M134))</f>
        <v/>
      </c>
    </row>
    <row r="135" spans="14:15" x14ac:dyDescent="0.2">
      <c r="N135" s="3" t="str">
        <f>IF(SNum!N135 = "","", SUMPRODUCT(B135:M135,SNum!B135:M135)/SNum!N135)</f>
        <v/>
      </c>
      <c r="O135" s="3" t="str">
        <f>IF(SNum!N135="","",SUMPRODUCT(B135:M135,SNum!B135:M135))</f>
        <v/>
      </c>
    </row>
    <row r="136" spans="14:15" x14ac:dyDescent="0.2">
      <c r="N136" s="3" t="str">
        <f>IF(SNum!N136 = "","", SUMPRODUCT(B136:M136,SNum!B136:M136)/SNum!N136)</f>
        <v/>
      </c>
      <c r="O136" s="3" t="str">
        <f>IF(SNum!N136="","",SUMPRODUCT(B136:M136,SNum!B136:M136))</f>
        <v/>
      </c>
    </row>
    <row r="137" spans="14:15" x14ac:dyDescent="0.2">
      <c r="N137" s="3" t="str">
        <f>IF(SNum!N137 = "","", SUMPRODUCT(B137:M137,SNum!B137:M137)/SNum!N137)</f>
        <v/>
      </c>
      <c r="O137" s="3" t="str">
        <f>IF(SNum!N137="","",SUMPRODUCT(B137:M137,SNum!B137:M137))</f>
        <v/>
      </c>
    </row>
    <row r="138" spans="14:15" x14ac:dyDescent="0.2">
      <c r="N138" s="3" t="str">
        <f>IF(SNum!N138 = "","", SUMPRODUCT(B138:M138,SNum!B138:M138)/SNum!N138)</f>
        <v/>
      </c>
      <c r="O138" s="3" t="str">
        <f>IF(SNum!N138="","",SUMPRODUCT(B138:M138,SNum!B138:M138))</f>
        <v/>
      </c>
    </row>
    <row r="139" spans="14:15" x14ac:dyDescent="0.2">
      <c r="N139" s="3" t="str">
        <f>IF(SNum!N139 = "","", SUMPRODUCT(B139:M139,SNum!B139:M139)/SNum!N139)</f>
        <v/>
      </c>
      <c r="O139" s="3" t="str">
        <f>IF(SNum!N139="","",SUMPRODUCT(B139:M139,SNum!B139:M139))</f>
        <v/>
      </c>
    </row>
    <row r="140" spans="14:15" x14ac:dyDescent="0.2">
      <c r="N140" s="3" t="str">
        <f>IF(SNum!N140 = "","", SUMPRODUCT(B140:M140,SNum!B140:M140)/SNum!N140)</f>
        <v/>
      </c>
      <c r="O140" s="3" t="str">
        <f>IF(SNum!N140="","",SUMPRODUCT(B140:M140,SNum!B140:M140))</f>
        <v/>
      </c>
    </row>
    <row r="141" spans="14:15" x14ac:dyDescent="0.2">
      <c r="N141" s="3" t="str">
        <f>IF(SNum!N141 = "","", SUMPRODUCT(B141:M141,SNum!B141:M141)/SNum!N141)</f>
        <v/>
      </c>
      <c r="O141" s="3" t="str">
        <f>IF(SNum!N141="","",SUMPRODUCT(B141:M141,SNum!B141:M141))</f>
        <v/>
      </c>
    </row>
    <row r="142" spans="14:15" x14ac:dyDescent="0.2">
      <c r="N142" s="3" t="str">
        <f>IF(SNum!N142 = "","", SUMPRODUCT(B142:M142,SNum!B142:M142)/SNum!N142)</f>
        <v/>
      </c>
      <c r="O142" s="3" t="str">
        <f>IF(SNum!N142="","",SUMPRODUCT(B142:M142,SNum!B142:M142))</f>
        <v/>
      </c>
    </row>
    <row r="143" spans="14:15" x14ac:dyDescent="0.2">
      <c r="N143" s="3" t="str">
        <f>IF(SNum!N143 = "","", SUMPRODUCT(B143:M143,SNum!B143:M143)/SNum!N143)</f>
        <v/>
      </c>
      <c r="O143" s="3" t="str">
        <f>IF(SNum!N143="","",SUMPRODUCT(B143:M143,SNum!B143:M143))</f>
        <v/>
      </c>
    </row>
    <row r="144" spans="14:15" x14ac:dyDescent="0.2">
      <c r="N144" s="3" t="str">
        <f>IF(SNum!N144 = "","", SUMPRODUCT(B144:M144,SNum!B144:M144)/SNum!N144)</f>
        <v/>
      </c>
      <c r="O144" s="3" t="str">
        <f>IF(SNum!N144="","",SUMPRODUCT(B144:M144,SNum!B144:M144))</f>
        <v/>
      </c>
    </row>
    <row r="145" spans="14:15" x14ac:dyDescent="0.2">
      <c r="N145" s="3" t="str">
        <f>IF(SNum!N145 = "","", SUMPRODUCT(B145:M145,SNum!B145:M145)/SNum!N145)</f>
        <v/>
      </c>
      <c r="O145" s="3" t="str">
        <f>IF(SNum!N145="","",SUMPRODUCT(B145:M145,SNum!B145:M145))</f>
        <v/>
      </c>
    </row>
    <row r="146" spans="14:15" x14ac:dyDescent="0.2">
      <c r="N146" s="3" t="str">
        <f>IF(SNum!N146 = "","", SUMPRODUCT(B146:M146,SNum!B146:M146)/SNum!N146)</f>
        <v/>
      </c>
      <c r="O146" s="3" t="str">
        <f>IF(SNum!N146="","",SUMPRODUCT(B146:M146,SNum!B146:M146))</f>
        <v/>
      </c>
    </row>
    <row r="147" spans="14:15" x14ac:dyDescent="0.2">
      <c r="N147" s="3" t="str">
        <f>IF(SNum!N147 = "","", SUMPRODUCT(B147:M147,SNum!B147:M147)/SNum!N147)</f>
        <v/>
      </c>
      <c r="O147" s="3" t="str">
        <f>IF(SNum!N147="","",SUMPRODUCT(B147:M147,SNum!B147:M147))</f>
        <v/>
      </c>
    </row>
    <row r="148" spans="14:15" x14ac:dyDescent="0.2">
      <c r="N148" s="3" t="str">
        <f>IF(SNum!N148 = "","", SUMPRODUCT(B148:M148,SNum!B148:M148)/SNum!N148)</f>
        <v/>
      </c>
      <c r="O148" s="3" t="str">
        <f>IF(SNum!N148="","",SUMPRODUCT(B148:M148,SNum!B148:M148))</f>
        <v/>
      </c>
    </row>
    <row r="149" spans="14:15" x14ac:dyDescent="0.2">
      <c r="N149" s="3" t="str">
        <f>IF(SNum!N149 = "","", SUMPRODUCT(B149:M149,SNum!B149:M149)/SNum!N149)</f>
        <v/>
      </c>
      <c r="O149" s="3" t="str">
        <f>IF(SNum!N149="","",SUMPRODUCT(B149:M149,SNum!B149:M149))</f>
        <v/>
      </c>
    </row>
    <row r="150" spans="14:15" x14ac:dyDescent="0.2">
      <c r="N150" s="3" t="str">
        <f>IF(SNum!N150 = "","", SUMPRODUCT(B150:M150,SNum!B150:M150)/SNum!N150)</f>
        <v/>
      </c>
      <c r="O150" s="3" t="str">
        <f>IF(SNum!N150="","",SUMPRODUCT(B150:M150,SNum!B150:M150))</f>
        <v/>
      </c>
    </row>
    <row r="151" spans="14:15" x14ac:dyDescent="0.2">
      <c r="N151" s="3" t="str">
        <f>IF(SNum!N151 = "","", SUMPRODUCT(B151:M151,SNum!B151:M151)/SNum!N151)</f>
        <v/>
      </c>
      <c r="O151" s="3" t="str">
        <f>IF(SNum!N151="","",SUMPRODUCT(B151:M151,SNum!B151:M151))</f>
        <v/>
      </c>
    </row>
    <row r="152" spans="14:15" x14ac:dyDescent="0.2">
      <c r="N152" s="3" t="str">
        <f>IF(SNum!N152 = "","", SUMPRODUCT(B152:M152,SNum!B152:M152)/SNum!N152)</f>
        <v/>
      </c>
      <c r="O152" s="3" t="str">
        <f>IF(SNum!N152="","",SUMPRODUCT(B152:M152,SNum!B152:M152))</f>
        <v/>
      </c>
    </row>
    <row r="153" spans="14:15" x14ac:dyDescent="0.2">
      <c r="N153" s="3" t="str">
        <f>IF(SNum!N153 = "","", SUMPRODUCT(B153:M153,SNum!B153:M153)/SNum!N153)</f>
        <v/>
      </c>
      <c r="O153" s="3" t="str">
        <f>IF(SNum!N153="","",SUMPRODUCT(B153:M153,SNum!B153:M153))</f>
        <v/>
      </c>
    </row>
    <row r="154" spans="14:15" x14ac:dyDescent="0.2">
      <c r="N154" s="3" t="str">
        <f>IF(SNum!N154 = "","", SUMPRODUCT(B154:M154,SNum!B154:M154)/SNum!N154)</f>
        <v/>
      </c>
      <c r="O154" s="3" t="str">
        <f>IF(SNum!N154="","",SUMPRODUCT(B154:M154,SNum!B154:M154))</f>
        <v/>
      </c>
    </row>
    <row r="155" spans="14:15" x14ac:dyDescent="0.2">
      <c r="N155" s="3" t="str">
        <f>IF(SNum!N155 = "","", SUMPRODUCT(B155:M155,SNum!B155:M155)/SNum!N155)</f>
        <v/>
      </c>
      <c r="O155" s="3" t="str">
        <f>IF(SNum!N155="","",SUMPRODUCT(B155:M155,SNum!B155:M155))</f>
        <v/>
      </c>
    </row>
    <row r="156" spans="14:15" x14ac:dyDescent="0.2">
      <c r="N156" s="3" t="str">
        <f>IF(SNum!N156 = "","", SUMPRODUCT(B156:M156,SNum!B156:M156)/SNum!N156)</f>
        <v/>
      </c>
      <c r="O156" s="3" t="str">
        <f>IF(SNum!N156="","",SUMPRODUCT(B156:M156,SNum!B156:M156))</f>
        <v/>
      </c>
    </row>
    <row r="157" spans="14:15" x14ac:dyDescent="0.2">
      <c r="N157" s="3" t="str">
        <f>IF(SNum!N157 = "","", SUMPRODUCT(B157:M157,SNum!B157:M157)/SNum!N157)</f>
        <v/>
      </c>
      <c r="O157" s="3" t="str">
        <f>IF(SNum!N157="","",SUMPRODUCT(B157:M157,SNum!B157:M157))</f>
        <v/>
      </c>
    </row>
    <row r="158" spans="14:15" x14ac:dyDescent="0.2">
      <c r="N158" s="3" t="str">
        <f>IF(SNum!N158 = "","", SUMPRODUCT(B158:M158,SNum!B158:M158)/SNum!N158)</f>
        <v/>
      </c>
      <c r="O158" s="3" t="str">
        <f>IF(SNum!N158="","",SUMPRODUCT(B158:M158,SNum!B158:M158))</f>
        <v/>
      </c>
    </row>
    <row r="159" spans="14:15" x14ac:dyDescent="0.2">
      <c r="N159" s="3" t="str">
        <f>IF(SNum!N159 = "","", SUMPRODUCT(B159:M159,SNum!B159:M159)/SNum!N159)</f>
        <v/>
      </c>
      <c r="O159" s="3" t="str">
        <f>IF(SNum!N159="","",SUMPRODUCT(B159:M159,SNum!B159:M159))</f>
        <v/>
      </c>
    </row>
    <row r="160" spans="14:15" x14ac:dyDescent="0.2">
      <c r="N160" s="3" t="str">
        <f>IF(SNum!N160 = "","", SUMPRODUCT(B160:M160,SNum!B160:M160)/SNum!N160)</f>
        <v/>
      </c>
      <c r="O160" s="3" t="str">
        <f>IF(SNum!N160="","",SUMPRODUCT(B160:M160,SNum!B160:M160))</f>
        <v/>
      </c>
    </row>
    <row r="161" spans="14:15" x14ac:dyDescent="0.2">
      <c r="N161" s="3" t="str">
        <f>IF(SNum!N161 = "","", SUMPRODUCT(B161:M161,SNum!B161:M161)/SNum!N161)</f>
        <v/>
      </c>
      <c r="O161" s="3" t="str">
        <f>IF(SNum!N161="","",SUMPRODUCT(B161:M161,SNum!B161:M161))</f>
        <v/>
      </c>
    </row>
    <row r="162" spans="14:15" x14ac:dyDescent="0.2">
      <c r="N162" s="3" t="str">
        <f>IF(SNum!N162 = "","", SUMPRODUCT(B162:M162,SNum!B162:M162)/SNum!N162)</f>
        <v/>
      </c>
      <c r="O162" s="3" t="str">
        <f>IF(SNum!N162="","",SUMPRODUCT(B162:M162,SNum!B162:M162))</f>
        <v/>
      </c>
    </row>
    <row r="163" spans="14:15" x14ac:dyDescent="0.2">
      <c r="N163" s="3" t="str">
        <f>IF(SNum!N163 = "","", SUMPRODUCT(B163:M163,SNum!B163:M163)/SNum!N163)</f>
        <v/>
      </c>
      <c r="O163" s="3" t="str">
        <f>IF(SNum!N163="","",SUMPRODUCT(B163:M163,SNum!B163:M163))</f>
        <v/>
      </c>
    </row>
    <row r="164" spans="14:15" x14ac:dyDescent="0.2">
      <c r="N164" s="3" t="str">
        <f>IF(SNum!N164 = "","", SUMPRODUCT(B164:M164,SNum!B164:M164)/SNum!N164)</f>
        <v/>
      </c>
      <c r="O164" s="3" t="str">
        <f>IF(SNum!N164="","",SUMPRODUCT(B164:M164,SNum!B164:M164))</f>
        <v/>
      </c>
    </row>
    <row r="165" spans="14:15" x14ac:dyDescent="0.2">
      <c r="N165" s="3" t="str">
        <f>IF(SNum!N165 = "","", SUMPRODUCT(B165:M165,SNum!B165:M165)/SNum!N165)</f>
        <v/>
      </c>
      <c r="O165" s="3" t="str">
        <f>IF(SNum!N165="","",SUMPRODUCT(B165:M165,SNum!B165:M165))</f>
        <v/>
      </c>
    </row>
    <row r="166" spans="14:15" x14ac:dyDescent="0.2">
      <c r="N166" s="3" t="str">
        <f>IF(SNum!N166 = "","", SUMPRODUCT(B166:M166,SNum!B166:M166)/SNum!N166)</f>
        <v/>
      </c>
      <c r="O166" s="3" t="str">
        <f>IF(SNum!N166="","",SUMPRODUCT(B166:M166,SNum!B166:M166))</f>
        <v/>
      </c>
    </row>
    <row r="167" spans="14:15" x14ac:dyDescent="0.2">
      <c r="N167" s="3" t="str">
        <f>IF(SNum!N167 = "","", SUMPRODUCT(B167:M167,SNum!B167:M167)/SNum!N167)</f>
        <v/>
      </c>
      <c r="O167" s="3" t="str">
        <f>IF(SNum!N167="","",SUMPRODUCT(B167:M167,SNum!B167:M167))</f>
        <v/>
      </c>
    </row>
    <row r="168" spans="14:15" x14ac:dyDescent="0.2">
      <c r="N168" s="3" t="str">
        <f>IF(SNum!N168 = "","", SUMPRODUCT(B168:M168,SNum!B168:M168)/SNum!N168)</f>
        <v/>
      </c>
      <c r="O168" s="3" t="str">
        <f>IF(SNum!N168="","",SUMPRODUCT(B168:M168,SNum!B168:M168))</f>
        <v/>
      </c>
    </row>
    <row r="169" spans="14:15" x14ac:dyDescent="0.2">
      <c r="N169" s="3" t="str">
        <f>IF(SNum!N169 = "","", SUMPRODUCT(B169:M169,SNum!B169:M169)/SNum!N169)</f>
        <v/>
      </c>
      <c r="O169" s="3" t="str">
        <f>IF(SNum!N169="","",SUMPRODUCT(B169:M169,SNum!B169:M169))</f>
        <v/>
      </c>
    </row>
    <row r="170" spans="14:15" x14ac:dyDescent="0.2">
      <c r="N170" s="3" t="str">
        <f>IF(SNum!N170 = "","", SUMPRODUCT(B170:M170,SNum!B170:M170)/SNum!N170)</f>
        <v/>
      </c>
      <c r="O170" s="3" t="str">
        <f>IF(SNum!N170="","",SUMPRODUCT(B170:M170,SNum!B170:M170))</f>
        <v/>
      </c>
    </row>
    <row r="171" spans="14:15" x14ac:dyDescent="0.2">
      <c r="N171" s="3" t="str">
        <f>IF(SNum!N171 = "","", SUMPRODUCT(B171:M171,SNum!B171:M171)/SNum!N171)</f>
        <v/>
      </c>
      <c r="O171" s="3" t="str">
        <f>IF(SNum!N171="","",SUMPRODUCT(B171:M171,SNum!B171:M171))</f>
        <v/>
      </c>
    </row>
    <row r="172" spans="14:15" x14ac:dyDescent="0.2">
      <c r="N172" s="3" t="str">
        <f>IF(SNum!N172 = "","", SUMPRODUCT(B172:M172,SNum!B172:M172)/SNum!N172)</f>
        <v/>
      </c>
      <c r="O172" s="3" t="str">
        <f>IF(SNum!N172="","",SUMPRODUCT(B172:M172,SNum!B172:M172))</f>
        <v/>
      </c>
    </row>
    <row r="173" spans="14:15" x14ac:dyDescent="0.2">
      <c r="N173" s="3" t="str">
        <f>IF(SNum!N173 = "","", SUMPRODUCT(B173:M173,SNum!B173:M173)/SNum!N173)</f>
        <v/>
      </c>
      <c r="O173" s="3" t="str">
        <f>IF(SNum!N173="","",SUMPRODUCT(B173:M173,SNum!B173:M173))</f>
        <v/>
      </c>
    </row>
    <row r="174" spans="14:15" x14ac:dyDescent="0.2">
      <c r="N174" s="3" t="str">
        <f>IF(SNum!N174 = "","", SUMPRODUCT(B174:M174,SNum!B174:M174)/SNum!N174)</f>
        <v/>
      </c>
      <c r="O174" s="3" t="str">
        <f>IF(SNum!N174="","",SUMPRODUCT(B174:M174,SNum!B174:M174))</f>
        <v/>
      </c>
    </row>
    <row r="175" spans="14:15" x14ac:dyDescent="0.2">
      <c r="N175" s="3" t="str">
        <f>IF(SNum!N175 = "","", SUMPRODUCT(B175:M175,SNum!B175:M175)/SNum!N175)</f>
        <v/>
      </c>
      <c r="O175" s="3" t="str">
        <f>IF(SNum!N175="","",SUMPRODUCT(B175:M175,SNum!B175:M175))</f>
        <v/>
      </c>
    </row>
    <row r="176" spans="14:15" x14ac:dyDescent="0.2">
      <c r="N176" s="3" t="str">
        <f>IF(SNum!N176 = "","", SUMPRODUCT(B176:M176,SNum!B176:M176)/SNum!N176)</f>
        <v/>
      </c>
      <c r="O176" s="3" t="str">
        <f>IF(SNum!N176="","",SUMPRODUCT(B176:M176,SNum!B176:M176))</f>
        <v/>
      </c>
    </row>
    <row r="177" spans="14:15" x14ac:dyDescent="0.2">
      <c r="N177" s="3" t="str">
        <f>IF(SNum!N177 = "","", SUMPRODUCT(B177:M177,SNum!B177:M177)/SNum!N177)</f>
        <v/>
      </c>
      <c r="O177" s="3" t="str">
        <f>IF(SNum!N177="","",SUMPRODUCT(B177:M177,SNum!B177:M177))</f>
        <v/>
      </c>
    </row>
    <row r="178" spans="14:15" x14ac:dyDescent="0.2">
      <c r="N178" s="3" t="str">
        <f>IF(SNum!N178 = "","", SUMPRODUCT(B178:M178,SNum!B178:M178)/SNum!N178)</f>
        <v/>
      </c>
      <c r="O178" s="3" t="str">
        <f>IF(SNum!N178="","",SUMPRODUCT(B178:M178,SNum!B178:M178))</f>
        <v/>
      </c>
    </row>
    <row r="179" spans="14:15" x14ac:dyDescent="0.2">
      <c r="N179" s="3" t="str">
        <f>IF(SNum!N179 = "","", SUMPRODUCT(B179:M179,SNum!B179:M179)/SNum!N179)</f>
        <v/>
      </c>
      <c r="O179" s="3" t="str">
        <f>IF(SNum!N179="","",SUMPRODUCT(B179:M179,SNum!B179:M179))</f>
        <v/>
      </c>
    </row>
    <row r="180" spans="14:15" x14ac:dyDescent="0.2">
      <c r="N180" s="3" t="str">
        <f>IF(SNum!N180 = "","", SUMPRODUCT(B180:M180,SNum!B180:M180)/SNum!N180)</f>
        <v/>
      </c>
      <c r="O180" s="3" t="str">
        <f>IF(SNum!N180="","",SUMPRODUCT(B180:M180,SNum!B180:M180))</f>
        <v/>
      </c>
    </row>
    <row r="181" spans="14:15" x14ac:dyDescent="0.2">
      <c r="N181" s="3" t="str">
        <f>IF(SNum!N181 = "","", SUMPRODUCT(B181:M181,SNum!B181:M181)/SNum!N181)</f>
        <v/>
      </c>
      <c r="O181" s="3" t="str">
        <f>IF(SNum!N181="","",SUMPRODUCT(B181:M181,SNum!B181:M181))</f>
        <v/>
      </c>
    </row>
    <row r="182" spans="14:15" x14ac:dyDescent="0.2">
      <c r="N182" s="3" t="str">
        <f>IF(SNum!N182 = "","", SUMPRODUCT(B182:M182,SNum!B182:M182)/SNum!N182)</f>
        <v/>
      </c>
      <c r="O182" s="3" t="str">
        <f>IF(SNum!N182="","",SUMPRODUCT(B182:M182,SNum!B182:M182))</f>
        <v/>
      </c>
    </row>
    <row r="183" spans="14:15" x14ac:dyDescent="0.2">
      <c r="N183" s="3" t="str">
        <f>IF(SNum!N183 = "","", SUMPRODUCT(B183:M183,SNum!B183:M183)/SNum!N183)</f>
        <v/>
      </c>
      <c r="O183" s="3" t="str">
        <f>IF(SNum!N183="","",SUMPRODUCT(B183:M183,SNum!B183:M183))</f>
        <v/>
      </c>
    </row>
    <row r="184" spans="14:15" x14ac:dyDescent="0.2">
      <c r="N184" s="3" t="str">
        <f>IF(SNum!N184 = "","", SUMPRODUCT(B184:M184,SNum!B184:M184)/SNum!N184)</f>
        <v/>
      </c>
      <c r="O184" s="3" t="str">
        <f>IF(SNum!N184="","",SUMPRODUCT(B184:M184,SNum!B184:M184))</f>
        <v/>
      </c>
    </row>
    <row r="185" spans="14:15" x14ac:dyDescent="0.2">
      <c r="N185" s="3" t="str">
        <f>IF(SNum!N185 = "","", SUMPRODUCT(B185:M185,SNum!B185:M185)/SNum!N185)</f>
        <v/>
      </c>
      <c r="O185" s="3" t="str">
        <f>IF(SNum!N185="","",SUMPRODUCT(B185:M185,SNum!B185:M185))</f>
        <v/>
      </c>
    </row>
    <row r="186" spans="14:15" x14ac:dyDescent="0.2">
      <c r="N186" s="3" t="str">
        <f>IF(SNum!N186 = "","", SUMPRODUCT(B186:M186,SNum!B186:M186)/SNum!N186)</f>
        <v/>
      </c>
      <c r="O186" s="3" t="str">
        <f>IF(SNum!N186="","",SUMPRODUCT(B186:M186,SNum!B186:M186))</f>
        <v/>
      </c>
    </row>
    <row r="187" spans="14:15" x14ac:dyDescent="0.2">
      <c r="N187" s="3" t="str">
        <f>IF(SNum!N187 = "","", SUMPRODUCT(B187:M187,SNum!B187:M187)/SNum!N187)</f>
        <v/>
      </c>
      <c r="O187" s="3" t="str">
        <f>IF(SNum!N187="","",SUMPRODUCT(B187:M187,SNum!B187:M187))</f>
        <v/>
      </c>
    </row>
    <row r="188" spans="14:15" x14ac:dyDescent="0.2">
      <c r="N188" s="3" t="str">
        <f>IF(SNum!N188 = "","", SUMPRODUCT(B188:M188,SNum!B188:M188)/SNum!N188)</f>
        <v/>
      </c>
      <c r="O188" s="3" t="str">
        <f>IF(SNum!N188="","",SUMPRODUCT(B188:M188,SNum!B188:M188))</f>
        <v/>
      </c>
    </row>
    <row r="189" spans="14:15" x14ac:dyDescent="0.2">
      <c r="N189" s="3" t="str">
        <f>IF(SNum!N189 = "","", SUMPRODUCT(B189:M189,SNum!B189:M189)/SNum!N189)</f>
        <v/>
      </c>
      <c r="O189" s="3" t="str">
        <f>IF(SNum!N189="","",SUMPRODUCT(B189:M189,SNum!B189:M189))</f>
        <v/>
      </c>
    </row>
    <row r="190" spans="14:15" x14ac:dyDescent="0.2">
      <c r="N190" s="3" t="str">
        <f>IF(SNum!N190 = "","", SUMPRODUCT(B190:M190,SNum!B190:M190)/SNum!N190)</f>
        <v/>
      </c>
      <c r="O190" s="3" t="str">
        <f>IF(SNum!N190="","",SUMPRODUCT(B190:M190,SNum!B190:M190))</f>
        <v/>
      </c>
    </row>
    <row r="191" spans="14:15" x14ac:dyDescent="0.2">
      <c r="N191" s="3" t="str">
        <f>IF(SNum!N191 = "","", SUMPRODUCT(B191:M191,SNum!B191:M191)/SNum!N191)</f>
        <v/>
      </c>
      <c r="O191" s="3" t="str">
        <f>IF(SNum!N191="","",SUMPRODUCT(B191:M191,SNum!B191:M191))</f>
        <v/>
      </c>
    </row>
    <row r="192" spans="14:15" x14ac:dyDescent="0.2">
      <c r="N192" s="3" t="str">
        <f>IF(SNum!N192 = "","", SUMPRODUCT(B192:M192,SNum!B192:M192)/SNum!N192)</f>
        <v/>
      </c>
      <c r="O192" s="3" t="str">
        <f>IF(SNum!N192="","",SUMPRODUCT(B192:M192,SNum!B192:M192))</f>
        <v/>
      </c>
    </row>
    <row r="193" spans="14:15" x14ac:dyDescent="0.2">
      <c r="N193" s="3" t="str">
        <f>IF(SNum!N193 = "","", SUMPRODUCT(B193:M193,SNum!B193:M193)/SNum!N193)</f>
        <v/>
      </c>
      <c r="O193" s="3" t="str">
        <f>IF(SNum!N193="","",SUMPRODUCT(B193:M193,SNum!B193:M193))</f>
        <v/>
      </c>
    </row>
    <row r="194" spans="14:15" x14ac:dyDescent="0.2">
      <c r="N194" s="3" t="str">
        <f>IF(SNum!N194 = "","", SUMPRODUCT(B194:M194,SNum!B194:M194)/SNum!N194)</f>
        <v/>
      </c>
      <c r="O194" s="3" t="str">
        <f>IF(SNum!N194="","",SUMPRODUCT(B194:M194,SNum!B194:M194))</f>
        <v/>
      </c>
    </row>
    <row r="195" spans="14:15" x14ac:dyDescent="0.2">
      <c r="N195" s="3" t="str">
        <f>IF(SNum!N195 = "","", SUMPRODUCT(B195:M195,SNum!B195:M195)/SNum!N195)</f>
        <v/>
      </c>
      <c r="O195" s="3" t="str">
        <f>IF(SNum!N195="","",SUMPRODUCT(B195:M195,SNum!B195:M195))</f>
        <v/>
      </c>
    </row>
    <row r="196" spans="14:15" x14ac:dyDescent="0.2">
      <c r="N196" s="3" t="str">
        <f>IF(SNum!N196 = "","", SUMPRODUCT(B196:M196,SNum!B196:M196)/SNum!N196)</f>
        <v/>
      </c>
      <c r="O196" s="3" t="str">
        <f>IF(SNum!N196="","",SUMPRODUCT(B196:M196,SNum!B196:M196))</f>
        <v/>
      </c>
    </row>
    <row r="197" spans="14:15" x14ac:dyDescent="0.2">
      <c r="N197" s="3" t="str">
        <f>IF(SNum!N197 = "","", SUMPRODUCT(B197:M197,SNum!B197:M197)/SNum!N197)</f>
        <v/>
      </c>
      <c r="O197" s="3" t="str">
        <f>IF(SNum!N197="","",SUMPRODUCT(B197:M197,SNum!B197:M197))</f>
        <v/>
      </c>
    </row>
    <row r="198" spans="14:15" x14ac:dyDescent="0.2">
      <c r="N198" s="3" t="str">
        <f>IF(SNum!N198 = "","", SUMPRODUCT(B198:M198,SNum!B198:M198)/SNum!N198)</f>
        <v/>
      </c>
      <c r="O198" s="3" t="str">
        <f>IF(SNum!N198="","",SUMPRODUCT(B198:M198,SNum!B198:M198))</f>
        <v/>
      </c>
    </row>
    <row r="199" spans="14:15" x14ac:dyDescent="0.2">
      <c r="N199" s="3" t="str">
        <f>IF(SNum!N199 = "","", SUMPRODUCT(B199:M199,SNum!B199:M199)/SNum!N199)</f>
        <v/>
      </c>
      <c r="O199" s="3" t="str">
        <f>IF(SNum!N199="","",SUMPRODUCT(B199:M199,SNum!B199:M199))</f>
        <v/>
      </c>
    </row>
    <row r="200" spans="14:15" x14ac:dyDescent="0.2">
      <c r="N200" s="3" t="str">
        <f>IF(SNum!N200 = "","", SUMPRODUCT(B200:M200,SNum!B200:M200)/SNum!N200)</f>
        <v/>
      </c>
      <c r="O200" s="3" t="str">
        <f>IF(SNum!N200="","",SUMPRODUCT(B200:M200,SNum!B200:M200))</f>
        <v/>
      </c>
    </row>
    <row r="201" spans="14:15" x14ac:dyDescent="0.2">
      <c r="N201" s="3" t="str">
        <f>IF(SNum!N201 = "","", SUMPRODUCT(B201:M201,SNum!B201:M201)/SNum!N201)</f>
        <v/>
      </c>
      <c r="O201" s="3" t="str">
        <f>IF(SNum!N201="","",SUMPRODUCT(B201:M201,SNum!B201:M201))</f>
        <v/>
      </c>
    </row>
    <row r="202" spans="14:15" x14ac:dyDescent="0.2">
      <c r="N202" s="3" t="str">
        <f>IF(SNum!N202 = "","", SUMPRODUCT(B202:M202,SNum!B202:M202)/SNum!N202)</f>
        <v/>
      </c>
      <c r="O202" s="3" t="str">
        <f>IF(SNum!N202="","",SUMPRODUCT(B202:M202,SNum!B202:M202))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9A1E4-DBAE-4804-A8C0-B07067C0A55D}">
  <sheetPr codeName="Sheet94"/>
  <dimension ref="A1:N198"/>
  <sheetViews>
    <sheetView workbookViewId="0">
      <selection activeCell="D3" sqref="D3"/>
    </sheetView>
  </sheetViews>
  <sheetFormatPr baseColWidth="10" defaultColWidth="8.83203125" defaultRowHeight="15" x14ac:dyDescent="0.2"/>
  <cols>
    <col min="1" max="1" width="18.33203125" bestFit="1" customWidth="1"/>
  </cols>
  <sheetData>
    <row r="1" spans="1:14" x14ac:dyDescent="0.2">
      <c r="A1" t="s">
        <v>0</v>
      </c>
      <c r="B1" s="3" t="s">
        <v>128</v>
      </c>
      <c r="C1" t="s">
        <v>129</v>
      </c>
      <c r="D1" t="s">
        <v>130</v>
      </c>
      <c r="E1" t="s">
        <v>132</v>
      </c>
      <c r="F1" t="s">
        <v>133</v>
      </c>
      <c r="G1" t="s">
        <v>131</v>
      </c>
      <c r="H1" t="s">
        <v>123</v>
      </c>
      <c r="I1" t="s">
        <v>124</v>
      </c>
      <c r="J1" t="s">
        <v>122</v>
      </c>
      <c r="K1" t="s">
        <v>125</v>
      </c>
      <c r="L1" t="s">
        <v>126</v>
      </c>
      <c r="M1" t="s">
        <v>127</v>
      </c>
    </row>
    <row r="2" spans="1:14" x14ac:dyDescent="0.2">
      <c r="A2" t="s">
        <v>203</v>
      </c>
      <c r="E2">
        <v>73</v>
      </c>
      <c r="N2">
        <f t="shared" ref="N2:N65" si="0">IF(A2 = "","",SUM(B2:M2))</f>
        <v>73</v>
      </c>
    </row>
    <row r="3" spans="1:14" x14ac:dyDescent="0.2">
      <c r="N3" t="str">
        <f t="shared" si="0"/>
        <v/>
      </c>
    </row>
    <row r="4" spans="1:14" x14ac:dyDescent="0.2">
      <c r="N4" t="str">
        <f t="shared" si="0"/>
        <v/>
      </c>
    </row>
    <row r="5" spans="1:14" x14ac:dyDescent="0.2">
      <c r="N5" t="str">
        <f t="shared" si="0"/>
        <v/>
      </c>
    </row>
    <row r="6" spans="1:14" x14ac:dyDescent="0.2">
      <c r="N6" t="str">
        <f t="shared" si="0"/>
        <v/>
      </c>
    </row>
    <row r="7" spans="1:14" x14ac:dyDescent="0.2">
      <c r="N7" t="str">
        <f t="shared" si="0"/>
        <v/>
      </c>
    </row>
    <row r="8" spans="1:14" x14ac:dyDescent="0.2">
      <c r="N8" t="str">
        <f t="shared" si="0"/>
        <v/>
      </c>
    </row>
    <row r="9" spans="1:14" x14ac:dyDescent="0.2">
      <c r="N9" t="str">
        <f t="shared" si="0"/>
        <v/>
      </c>
    </row>
    <row r="10" spans="1:14" x14ac:dyDescent="0.2">
      <c r="N10" t="str">
        <f t="shared" si="0"/>
        <v/>
      </c>
    </row>
    <row r="11" spans="1:14" x14ac:dyDescent="0.2">
      <c r="N11" t="str">
        <f t="shared" si="0"/>
        <v/>
      </c>
    </row>
    <row r="12" spans="1:14" x14ac:dyDescent="0.2">
      <c r="N12" t="str">
        <f t="shared" si="0"/>
        <v/>
      </c>
    </row>
    <row r="13" spans="1:14" x14ac:dyDescent="0.2">
      <c r="N13" t="str">
        <f t="shared" si="0"/>
        <v/>
      </c>
    </row>
    <row r="14" spans="1:14" x14ac:dyDescent="0.2">
      <c r="N14" t="str">
        <f t="shared" si="0"/>
        <v/>
      </c>
    </row>
    <row r="15" spans="1:14" x14ac:dyDescent="0.2">
      <c r="N15" t="str">
        <f t="shared" si="0"/>
        <v/>
      </c>
    </row>
    <row r="16" spans="1:14" x14ac:dyDescent="0.2">
      <c r="N16" t="str">
        <f t="shared" si="0"/>
        <v/>
      </c>
    </row>
    <row r="17" spans="14:14" x14ac:dyDescent="0.2">
      <c r="N17" t="str">
        <f t="shared" si="0"/>
        <v/>
      </c>
    </row>
    <row r="18" spans="14:14" x14ac:dyDescent="0.2">
      <c r="N18" t="str">
        <f t="shared" si="0"/>
        <v/>
      </c>
    </row>
    <row r="19" spans="14:14" x14ac:dyDescent="0.2">
      <c r="N19" t="str">
        <f t="shared" si="0"/>
        <v/>
      </c>
    </row>
    <row r="20" spans="14:14" x14ac:dyDescent="0.2">
      <c r="N20" t="str">
        <f t="shared" si="0"/>
        <v/>
      </c>
    </row>
    <row r="21" spans="14:14" x14ac:dyDescent="0.2">
      <c r="N21" t="str">
        <f t="shared" si="0"/>
        <v/>
      </c>
    </row>
    <row r="22" spans="14:14" x14ac:dyDescent="0.2">
      <c r="N22" t="str">
        <f t="shared" si="0"/>
        <v/>
      </c>
    </row>
    <row r="23" spans="14:14" x14ac:dyDescent="0.2">
      <c r="N23" t="str">
        <f t="shared" si="0"/>
        <v/>
      </c>
    </row>
    <row r="24" spans="14:14" x14ac:dyDescent="0.2">
      <c r="N24" t="str">
        <f t="shared" si="0"/>
        <v/>
      </c>
    </row>
    <row r="25" spans="14:14" x14ac:dyDescent="0.2">
      <c r="N25" t="str">
        <f t="shared" si="0"/>
        <v/>
      </c>
    </row>
    <row r="26" spans="14:14" x14ac:dyDescent="0.2">
      <c r="N26" t="str">
        <f t="shared" si="0"/>
        <v/>
      </c>
    </row>
    <row r="27" spans="14:14" x14ac:dyDescent="0.2">
      <c r="N27" t="str">
        <f t="shared" si="0"/>
        <v/>
      </c>
    </row>
    <row r="28" spans="14:14" x14ac:dyDescent="0.2">
      <c r="N28" t="str">
        <f t="shared" si="0"/>
        <v/>
      </c>
    </row>
    <row r="29" spans="14:14" x14ac:dyDescent="0.2">
      <c r="N29" t="str">
        <f t="shared" si="0"/>
        <v/>
      </c>
    </row>
    <row r="30" spans="14:14" x14ac:dyDescent="0.2">
      <c r="N30" t="str">
        <f t="shared" si="0"/>
        <v/>
      </c>
    </row>
    <row r="31" spans="14:14" x14ac:dyDescent="0.2">
      <c r="N31" t="str">
        <f t="shared" si="0"/>
        <v/>
      </c>
    </row>
    <row r="32" spans="14:14" x14ac:dyDescent="0.2">
      <c r="N32" t="str">
        <f t="shared" si="0"/>
        <v/>
      </c>
    </row>
    <row r="33" spans="14:14" x14ac:dyDescent="0.2">
      <c r="N33" t="str">
        <f t="shared" si="0"/>
        <v/>
      </c>
    </row>
    <row r="34" spans="14:14" x14ac:dyDescent="0.2">
      <c r="N34" t="str">
        <f t="shared" si="0"/>
        <v/>
      </c>
    </row>
    <row r="35" spans="14:14" x14ac:dyDescent="0.2">
      <c r="N35" t="str">
        <f t="shared" si="0"/>
        <v/>
      </c>
    </row>
    <row r="36" spans="14:14" x14ac:dyDescent="0.2">
      <c r="N36" t="str">
        <f t="shared" si="0"/>
        <v/>
      </c>
    </row>
    <row r="37" spans="14:14" x14ac:dyDescent="0.2">
      <c r="N37" t="str">
        <f t="shared" si="0"/>
        <v/>
      </c>
    </row>
    <row r="38" spans="14:14" x14ac:dyDescent="0.2">
      <c r="N38" t="str">
        <f t="shared" si="0"/>
        <v/>
      </c>
    </row>
    <row r="39" spans="14:14" x14ac:dyDescent="0.2">
      <c r="N39" t="str">
        <f t="shared" si="0"/>
        <v/>
      </c>
    </row>
    <row r="40" spans="14:14" x14ac:dyDescent="0.2">
      <c r="N40" t="str">
        <f t="shared" si="0"/>
        <v/>
      </c>
    </row>
    <row r="41" spans="14:14" x14ac:dyDescent="0.2">
      <c r="N41" t="str">
        <f t="shared" si="0"/>
        <v/>
      </c>
    </row>
    <row r="42" spans="14:14" x14ac:dyDescent="0.2">
      <c r="N42" t="str">
        <f t="shared" si="0"/>
        <v/>
      </c>
    </row>
    <row r="43" spans="14:14" x14ac:dyDescent="0.2">
      <c r="N43" t="str">
        <f t="shared" si="0"/>
        <v/>
      </c>
    </row>
    <row r="44" spans="14:14" x14ac:dyDescent="0.2">
      <c r="N44" t="str">
        <f t="shared" si="0"/>
        <v/>
      </c>
    </row>
    <row r="45" spans="14:14" x14ac:dyDescent="0.2">
      <c r="N45" t="str">
        <f t="shared" si="0"/>
        <v/>
      </c>
    </row>
    <row r="46" spans="14:14" x14ac:dyDescent="0.2">
      <c r="N46" t="str">
        <f t="shared" si="0"/>
        <v/>
      </c>
    </row>
    <row r="47" spans="14:14" x14ac:dyDescent="0.2">
      <c r="N47" t="str">
        <f t="shared" si="0"/>
        <v/>
      </c>
    </row>
    <row r="48" spans="14:14" x14ac:dyDescent="0.2">
      <c r="N48" t="str">
        <f t="shared" si="0"/>
        <v/>
      </c>
    </row>
    <row r="49" spans="14:14" x14ac:dyDescent="0.2">
      <c r="N49" t="str">
        <f t="shared" si="0"/>
        <v/>
      </c>
    </row>
    <row r="50" spans="14:14" x14ac:dyDescent="0.2">
      <c r="N50" t="str">
        <f t="shared" si="0"/>
        <v/>
      </c>
    </row>
    <row r="51" spans="14:14" x14ac:dyDescent="0.2">
      <c r="N51" t="str">
        <f t="shared" si="0"/>
        <v/>
      </c>
    </row>
    <row r="52" spans="14:14" x14ac:dyDescent="0.2">
      <c r="N52" t="str">
        <f t="shared" si="0"/>
        <v/>
      </c>
    </row>
    <row r="53" spans="14:14" x14ac:dyDescent="0.2">
      <c r="N53" t="str">
        <f t="shared" si="0"/>
        <v/>
      </c>
    </row>
    <row r="54" spans="14:14" x14ac:dyDescent="0.2">
      <c r="N54" t="str">
        <f t="shared" si="0"/>
        <v/>
      </c>
    </row>
    <row r="55" spans="14:14" x14ac:dyDescent="0.2">
      <c r="N55" t="str">
        <f t="shared" si="0"/>
        <v/>
      </c>
    </row>
    <row r="56" spans="14:14" x14ac:dyDescent="0.2">
      <c r="N56" t="str">
        <f t="shared" si="0"/>
        <v/>
      </c>
    </row>
    <row r="57" spans="14:14" x14ac:dyDescent="0.2">
      <c r="N57" t="str">
        <f t="shared" si="0"/>
        <v/>
      </c>
    </row>
    <row r="58" spans="14:14" x14ac:dyDescent="0.2">
      <c r="N58" t="str">
        <f t="shared" si="0"/>
        <v/>
      </c>
    </row>
    <row r="59" spans="14:14" x14ac:dyDescent="0.2">
      <c r="N59" t="str">
        <f t="shared" si="0"/>
        <v/>
      </c>
    </row>
    <row r="60" spans="14:14" x14ac:dyDescent="0.2">
      <c r="N60" t="str">
        <f t="shared" si="0"/>
        <v/>
      </c>
    </row>
    <row r="61" spans="14:14" x14ac:dyDescent="0.2">
      <c r="N61" t="str">
        <f t="shared" si="0"/>
        <v/>
      </c>
    </row>
    <row r="62" spans="14:14" x14ac:dyDescent="0.2">
      <c r="N62" t="str">
        <f t="shared" si="0"/>
        <v/>
      </c>
    </row>
    <row r="63" spans="14:14" x14ac:dyDescent="0.2">
      <c r="N63" t="str">
        <f t="shared" si="0"/>
        <v/>
      </c>
    </row>
    <row r="64" spans="14:14" x14ac:dyDescent="0.2">
      <c r="N64" t="str">
        <f t="shared" si="0"/>
        <v/>
      </c>
    </row>
    <row r="65" spans="14:14" x14ac:dyDescent="0.2">
      <c r="N65" t="str">
        <f t="shared" si="0"/>
        <v/>
      </c>
    </row>
    <row r="66" spans="14:14" x14ac:dyDescent="0.2">
      <c r="N66" t="str">
        <f t="shared" ref="N66:N129" si="1">IF(A66 = "","",SUM(B66:M66))</f>
        <v/>
      </c>
    </row>
    <row r="67" spans="14:14" x14ac:dyDescent="0.2">
      <c r="N67" t="str">
        <f t="shared" si="1"/>
        <v/>
      </c>
    </row>
    <row r="68" spans="14:14" x14ac:dyDescent="0.2">
      <c r="N68" t="str">
        <f t="shared" si="1"/>
        <v/>
      </c>
    </row>
    <row r="69" spans="14:14" x14ac:dyDescent="0.2">
      <c r="N69" t="str">
        <f t="shared" si="1"/>
        <v/>
      </c>
    </row>
    <row r="70" spans="14:14" x14ac:dyDescent="0.2">
      <c r="N70" t="str">
        <f t="shared" si="1"/>
        <v/>
      </c>
    </row>
    <row r="71" spans="14:14" x14ac:dyDescent="0.2">
      <c r="N71" t="str">
        <f t="shared" si="1"/>
        <v/>
      </c>
    </row>
    <row r="72" spans="14:14" x14ac:dyDescent="0.2">
      <c r="N72" t="str">
        <f t="shared" si="1"/>
        <v/>
      </c>
    </row>
    <row r="73" spans="14:14" x14ac:dyDescent="0.2">
      <c r="N73" t="str">
        <f t="shared" si="1"/>
        <v/>
      </c>
    </row>
    <row r="74" spans="14:14" x14ac:dyDescent="0.2">
      <c r="N74" t="str">
        <f t="shared" si="1"/>
        <v/>
      </c>
    </row>
    <row r="75" spans="14:14" x14ac:dyDescent="0.2">
      <c r="N75" t="str">
        <f t="shared" si="1"/>
        <v/>
      </c>
    </row>
    <row r="76" spans="14:14" x14ac:dyDescent="0.2">
      <c r="N76" t="str">
        <f t="shared" si="1"/>
        <v/>
      </c>
    </row>
    <row r="77" spans="14:14" x14ac:dyDescent="0.2">
      <c r="N77" t="str">
        <f t="shared" si="1"/>
        <v/>
      </c>
    </row>
    <row r="78" spans="14:14" x14ac:dyDescent="0.2">
      <c r="N78" t="str">
        <f t="shared" si="1"/>
        <v/>
      </c>
    </row>
    <row r="79" spans="14:14" x14ac:dyDescent="0.2">
      <c r="N79" t="str">
        <f t="shared" si="1"/>
        <v/>
      </c>
    </row>
    <row r="80" spans="14:14" x14ac:dyDescent="0.2">
      <c r="N80" t="str">
        <f t="shared" si="1"/>
        <v/>
      </c>
    </row>
    <row r="81" spans="14:14" x14ac:dyDescent="0.2">
      <c r="N81" t="str">
        <f t="shared" si="1"/>
        <v/>
      </c>
    </row>
    <row r="82" spans="14:14" x14ac:dyDescent="0.2">
      <c r="N82" t="str">
        <f t="shared" si="1"/>
        <v/>
      </c>
    </row>
    <row r="83" spans="14:14" x14ac:dyDescent="0.2">
      <c r="N83" t="str">
        <f t="shared" si="1"/>
        <v/>
      </c>
    </row>
    <row r="84" spans="14:14" x14ac:dyDescent="0.2">
      <c r="N84" t="str">
        <f t="shared" si="1"/>
        <v/>
      </c>
    </row>
    <row r="85" spans="14:14" x14ac:dyDescent="0.2">
      <c r="N85" t="str">
        <f t="shared" si="1"/>
        <v/>
      </c>
    </row>
    <row r="86" spans="14:14" x14ac:dyDescent="0.2">
      <c r="N86" t="str">
        <f t="shared" si="1"/>
        <v/>
      </c>
    </row>
    <row r="87" spans="14:14" x14ac:dyDescent="0.2">
      <c r="N87" t="str">
        <f t="shared" si="1"/>
        <v/>
      </c>
    </row>
    <row r="88" spans="14:14" x14ac:dyDescent="0.2">
      <c r="N88" t="str">
        <f t="shared" si="1"/>
        <v/>
      </c>
    </row>
    <row r="89" spans="14:14" x14ac:dyDescent="0.2">
      <c r="N89" t="str">
        <f t="shared" si="1"/>
        <v/>
      </c>
    </row>
    <row r="90" spans="14:14" x14ac:dyDescent="0.2">
      <c r="N90" t="str">
        <f t="shared" si="1"/>
        <v/>
      </c>
    </row>
    <row r="91" spans="14:14" x14ac:dyDescent="0.2">
      <c r="N91" t="str">
        <f t="shared" si="1"/>
        <v/>
      </c>
    </row>
    <row r="92" spans="14:14" x14ac:dyDescent="0.2">
      <c r="N92" t="str">
        <f t="shared" si="1"/>
        <v/>
      </c>
    </row>
    <row r="93" spans="14:14" x14ac:dyDescent="0.2">
      <c r="N93" t="str">
        <f t="shared" si="1"/>
        <v/>
      </c>
    </row>
    <row r="94" spans="14:14" x14ac:dyDescent="0.2">
      <c r="N94" t="str">
        <f t="shared" si="1"/>
        <v/>
      </c>
    </row>
    <row r="95" spans="14:14" x14ac:dyDescent="0.2">
      <c r="N95" t="str">
        <f t="shared" si="1"/>
        <v/>
      </c>
    </row>
    <row r="96" spans="14:14" x14ac:dyDescent="0.2">
      <c r="N96" t="str">
        <f t="shared" si="1"/>
        <v/>
      </c>
    </row>
    <row r="97" spans="14:14" x14ac:dyDescent="0.2">
      <c r="N97" t="str">
        <f t="shared" si="1"/>
        <v/>
      </c>
    </row>
    <row r="98" spans="14:14" x14ac:dyDescent="0.2">
      <c r="N98" t="str">
        <f t="shared" si="1"/>
        <v/>
      </c>
    </row>
    <row r="99" spans="14:14" x14ac:dyDescent="0.2">
      <c r="N99" t="str">
        <f t="shared" si="1"/>
        <v/>
      </c>
    </row>
    <row r="100" spans="14:14" x14ac:dyDescent="0.2">
      <c r="N100" t="str">
        <f t="shared" si="1"/>
        <v/>
      </c>
    </row>
    <row r="101" spans="14:14" x14ac:dyDescent="0.2">
      <c r="N101" t="str">
        <f t="shared" si="1"/>
        <v/>
      </c>
    </row>
    <row r="102" spans="14:14" x14ac:dyDescent="0.2">
      <c r="N102" t="str">
        <f t="shared" si="1"/>
        <v/>
      </c>
    </row>
    <row r="103" spans="14:14" x14ac:dyDescent="0.2">
      <c r="N103" t="str">
        <f t="shared" si="1"/>
        <v/>
      </c>
    </row>
    <row r="104" spans="14:14" x14ac:dyDescent="0.2">
      <c r="N104" t="str">
        <f t="shared" si="1"/>
        <v/>
      </c>
    </row>
    <row r="105" spans="14:14" x14ac:dyDescent="0.2">
      <c r="N105" t="str">
        <f t="shared" si="1"/>
        <v/>
      </c>
    </row>
    <row r="106" spans="14:14" x14ac:dyDescent="0.2">
      <c r="N106" t="str">
        <f t="shared" si="1"/>
        <v/>
      </c>
    </row>
    <row r="107" spans="14:14" x14ac:dyDescent="0.2">
      <c r="N107" t="str">
        <f t="shared" si="1"/>
        <v/>
      </c>
    </row>
    <row r="108" spans="14:14" x14ac:dyDescent="0.2">
      <c r="N108" t="str">
        <f t="shared" si="1"/>
        <v/>
      </c>
    </row>
    <row r="109" spans="14:14" x14ac:dyDescent="0.2">
      <c r="N109" t="str">
        <f t="shared" si="1"/>
        <v/>
      </c>
    </row>
    <row r="110" spans="14:14" x14ac:dyDescent="0.2">
      <c r="N110" t="str">
        <f t="shared" si="1"/>
        <v/>
      </c>
    </row>
    <row r="111" spans="14:14" x14ac:dyDescent="0.2">
      <c r="N111" t="str">
        <f t="shared" si="1"/>
        <v/>
      </c>
    </row>
    <row r="112" spans="14:14" x14ac:dyDescent="0.2">
      <c r="N112" t="str">
        <f t="shared" si="1"/>
        <v/>
      </c>
    </row>
    <row r="113" spans="14:14" x14ac:dyDescent="0.2">
      <c r="N113" t="str">
        <f t="shared" si="1"/>
        <v/>
      </c>
    </row>
    <row r="114" spans="14:14" x14ac:dyDescent="0.2">
      <c r="N114" t="str">
        <f t="shared" si="1"/>
        <v/>
      </c>
    </row>
    <row r="115" spans="14:14" x14ac:dyDescent="0.2">
      <c r="N115" t="str">
        <f t="shared" si="1"/>
        <v/>
      </c>
    </row>
    <row r="116" spans="14:14" x14ac:dyDescent="0.2">
      <c r="N116" t="str">
        <f t="shared" si="1"/>
        <v/>
      </c>
    </row>
    <row r="117" spans="14:14" x14ac:dyDescent="0.2">
      <c r="N117" t="str">
        <f t="shared" si="1"/>
        <v/>
      </c>
    </row>
    <row r="118" spans="14:14" x14ac:dyDescent="0.2">
      <c r="N118" t="str">
        <f t="shared" si="1"/>
        <v/>
      </c>
    </row>
    <row r="119" spans="14:14" x14ac:dyDescent="0.2">
      <c r="N119" t="str">
        <f t="shared" si="1"/>
        <v/>
      </c>
    </row>
    <row r="120" spans="14:14" x14ac:dyDescent="0.2">
      <c r="N120" t="str">
        <f t="shared" si="1"/>
        <v/>
      </c>
    </row>
    <row r="121" spans="14:14" x14ac:dyDescent="0.2">
      <c r="N121" t="str">
        <f t="shared" si="1"/>
        <v/>
      </c>
    </row>
    <row r="122" spans="14:14" x14ac:dyDescent="0.2">
      <c r="N122" t="str">
        <f t="shared" si="1"/>
        <v/>
      </c>
    </row>
    <row r="123" spans="14:14" x14ac:dyDescent="0.2">
      <c r="N123" t="str">
        <f t="shared" si="1"/>
        <v/>
      </c>
    </row>
    <row r="124" spans="14:14" x14ac:dyDescent="0.2">
      <c r="N124" t="str">
        <f t="shared" si="1"/>
        <v/>
      </c>
    </row>
    <row r="125" spans="14:14" x14ac:dyDescent="0.2">
      <c r="N125" t="str">
        <f t="shared" si="1"/>
        <v/>
      </c>
    </row>
    <row r="126" spans="14:14" x14ac:dyDescent="0.2">
      <c r="N126" t="str">
        <f t="shared" si="1"/>
        <v/>
      </c>
    </row>
    <row r="127" spans="14:14" x14ac:dyDescent="0.2">
      <c r="N127" t="str">
        <f t="shared" si="1"/>
        <v/>
      </c>
    </row>
    <row r="128" spans="14:14" x14ac:dyDescent="0.2">
      <c r="N128" t="str">
        <f t="shared" si="1"/>
        <v/>
      </c>
    </row>
    <row r="129" spans="14:14" x14ac:dyDescent="0.2">
      <c r="N129" t="str">
        <f t="shared" si="1"/>
        <v/>
      </c>
    </row>
    <row r="130" spans="14:14" x14ac:dyDescent="0.2">
      <c r="N130" t="str">
        <f t="shared" ref="N130:N193" si="2">IF(A130 = "","",SUM(B130:M130))</f>
        <v/>
      </c>
    </row>
    <row r="131" spans="14:14" x14ac:dyDescent="0.2">
      <c r="N131" t="str">
        <f t="shared" si="2"/>
        <v/>
      </c>
    </row>
    <row r="132" spans="14:14" x14ac:dyDescent="0.2">
      <c r="N132" t="str">
        <f t="shared" si="2"/>
        <v/>
      </c>
    </row>
    <row r="133" spans="14:14" x14ac:dyDescent="0.2">
      <c r="N133" t="str">
        <f t="shared" si="2"/>
        <v/>
      </c>
    </row>
    <row r="134" spans="14:14" x14ac:dyDescent="0.2">
      <c r="N134" t="str">
        <f t="shared" si="2"/>
        <v/>
      </c>
    </row>
    <row r="135" spans="14:14" x14ac:dyDescent="0.2">
      <c r="N135" t="str">
        <f t="shared" si="2"/>
        <v/>
      </c>
    </row>
    <row r="136" spans="14:14" x14ac:dyDescent="0.2">
      <c r="N136" t="str">
        <f t="shared" si="2"/>
        <v/>
      </c>
    </row>
    <row r="137" spans="14:14" x14ac:dyDescent="0.2">
      <c r="N137" t="str">
        <f t="shared" si="2"/>
        <v/>
      </c>
    </row>
    <row r="138" spans="14:14" x14ac:dyDescent="0.2">
      <c r="N138" t="str">
        <f t="shared" si="2"/>
        <v/>
      </c>
    </row>
    <row r="139" spans="14:14" x14ac:dyDescent="0.2">
      <c r="N139" t="str">
        <f t="shared" si="2"/>
        <v/>
      </c>
    </row>
    <row r="140" spans="14:14" x14ac:dyDescent="0.2">
      <c r="N140" t="str">
        <f t="shared" si="2"/>
        <v/>
      </c>
    </row>
    <row r="141" spans="14:14" x14ac:dyDescent="0.2">
      <c r="N141" t="str">
        <f t="shared" si="2"/>
        <v/>
      </c>
    </row>
    <row r="142" spans="14:14" x14ac:dyDescent="0.2">
      <c r="N142" t="str">
        <f t="shared" si="2"/>
        <v/>
      </c>
    </row>
    <row r="143" spans="14:14" x14ac:dyDescent="0.2">
      <c r="N143" t="str">
        <f t="shared" si="2"/>
        <v/>
      </c>
    </row>
    <row r="144" spans="14:14" x14ac:dyDescent="0.2">
      <c r="N144" t="str">
        <f t="shared" si="2"/>
        <v/>
      </c>
    </row>
    <row r="145" spans="14:14" x14ac:dyDescent="0.2">
      <c r="N145" t="str">
        <f t="shared" si="2"/>
        <v/>
      </c>
    </row>
    <row r="146" spans="14:14" x14ac:dyDescent="0.2">
      <c r="N146" t="str">
        <f t="shared" si="2"/>
        <v/>
      </c>
    </row>
    <row r="147" spans="14:14" x14ac:dyDescent="0.2">
      <c r="N147" t="str">
        <f t="shared" si="2"/>
        <v/>
      </c>
    </row>
    <row r="148" spans="14:14" x14ac:dyDescent="0.2">
      <c r="N148" t="str">
        <f t="shared" si="2"/>
        <v/>
      </c>
    </row>
    <row r="149" spans="14:14" x14ac:dyDescent="0.2">
      <c r="N149" t="str">
        <f t="shared" si="2"/>
        <v/>
      </c>
    </row>
    <row r="150" spans="14:14" x14ac:dyDescent="0.2">
      <c r="N150" t="str">
        <f t="shared" si="2"/>
        <v/>
      </c>
    </row>
    <row r="151" spans="14:14" x14ac:dyDescent="0.2">
      <c r="N151" t="str">
        <f t="shared" si="2"/>
        <v/>
      </c>
    </row>
    <row r="152" spans="14:14" x14ac:dyDescent="0.2">
      <c r="N152" t="str">
        <f t="shared" si="2"/>
        <v/>
      </c>
    </row>
    <row r="153" spans="14:14" x14ac:dyDescent="0.2">
      <c r="N153" t="str">
        <f t="shared" si="2"/>
        <v/>
      </c>
    </row>
    <row r="154" spans="14:14" x14ac:dyDescent="0.2">
      <c r="N154" t="str">
        <f t="shared" si="2"/>
        <v/>
      </c>
    </row>
    <row r="155" spans="14:14" x14ac:dyDescent="0.2">
      <c r="N155" t="str">
        <f t="shared" si="2"/>
        <v/>
      </c>
    </row>
    <row r="156" spans="14:14" x14ac:dyDescent="0.2">
      <c r="N156" t="str">
        <f t="shared" si="2"/>
        <v/>
      </c>
    </row>
    <row r="157" spans="14:14" x14ac:dyDescent="0.2">
      <c r="N157" t="str">
        <f t="shared" si="2"/>
        <v/>
      </c>
    </row>
    <row r="158" spans="14:14" x14ac:dyDescent="0.2">
      <c r="N158" t="str">
        <f t="shared" si="2"/>
        <v/>
      </c>
    </row>
    <row r="159" spans="14:14" x14ac:dyDescent="0.2">
      <c r="N159" t="str">
        <f t="shared" si="2"/>
        <v/>
      </c>
    </row>
    <row r="160" spans="14:14" x14ac:dyDescent="0.2">
      <c r="N160" t="str">
        <f t="shared" si="2"/>
        <v/>
      </c>
    </row>
    <row r="161" spans="14:14" x14ac:dyDescent="0.2">
      <c r="N161" t="str">
        <f t="shared" si="2"/>
        <v/>
      </c>
    </row>
    <row r="162" spans="14:14" x14ac:dyDescent="0.2">
      <c r="N162" t="str">
        <f t="shared" si="2"/>
        <v/>
      </c>
    </row>
    <row r="163" spans="14:14" x14ac:dyDescent="0.2">
      <c r="N163" t="str">
        <f t="shared" si="2"/>
        <v/>
      </c>
    </row>
    <row r="164" spans="14:14" x14ac:dyDescent="0.2">
      <c r="N164" t="str">
        <f t="shared" si="2"/>
        <v/>
      </c>
    </row>
    <row r="165" spans="14:14" x14ac:dyDescent="0.2">
      <c r="N165" t="str">
        <f t="shared" si="2"/>
        <v/>
      </c>
    </row>
    <row r="166" spans="14:14" x14ac:dyDescent="0.2">
      <c r="N166" t="str">
        <f t="shared" si="2"/>
        <v/>
      </c>
    </row>
    <row r="167" spans="14:14" x14ac:dyDescent="0.2">
      <c r="N167" t="str">
        <f t="shared" si="2"/>
        <v/>
      </c>
    </row>
    <row r="168" spans="14:14" x14ac:dyDescent="0.2">
      <c r="N168" t="str">
        <f t="shared" si="2"/>
        <v/>
      </c>
    </row>
    <row r="169" spans="14:14" x14ac:dyDescent="0.2">
      <c r="N169" t="str">
        <f t="shared" si="2"/>
        <v/>
      </c>
    </row>
    <row r="170" spans="14:14" x14ac:dyDescent="0.2">
      <c r="N170" t="str">
        <f t="shared" si="2"/>
        <v/>
      </c>
    </row>
    <row r="171" spans="14:14" x14ac:dyDescent="0.2">
      <c r="N171" t="str">
        <f t="shared" si="2"/>
        <v/>
      </c>
    </row>
    <row r="172" spans="14:14" x14ac:dyDescent="0.2">
      <c r="N172" t="str">
        <f t="shared" si="2"/>
        <v/>
      </c>
    </row>
    <row r="173" spans="14:14" x14ac:dyDescent="0.2">
      <c r="N173" t="str">
        <f t="shared" si="2"/>
        <v/>
      </c>
    </row>
    <row r="174" spans="14:14" x14ac:dyDescent="0.2">
      <c r="N174" t="str">
        <f t="shared" si="2"/>
        <v/>
      </c>
    </row>
    <row r="175" spans="14:14" x14ac:dyDescent="0.2">
      <c r="N175" t="str">
        <f t="shared" si="2"/>
        <v/>
      </c>
    </row>
    <row r="176" spans="14:14" x14ac:dyDescent="0.2">
      <c r="N176" t="str">
        <f t="shared" si="2"/>
        <v/>
      </c>
    </row>
    <row r="177" spans="14:14" x14ac:dyDescent="0.2">
      <c r="N177" t="str">
        <f t="shared" si="2"/>
        <v/>
      </c>
    </row>
    <row r="178" spans="14:14" x14ac:dyDescent="0.2">
      <c r="N178" t="str">
        <f t="shared" si="2"/>
        <v/>
      </c>
    </row>
    <row r="179" spans="14:14" x14ac:dyDescent="0.2">
      <c r="N179" t="str">
        <f t="shared" si="2"/>
        <v/>
      </c>
    </row>
    <row r="180" spans="14:14" x14ac:dyDescent="0.2">
      <c r="N180" t="str">
        <f t="shared" si="2"/>
        <v/>
      </c>
    </row>
    <row r="181" spans="14:14" x14ac:dyDescent="0.2">
      <c r="N181" t="str">
        <f t="shared" si="2"/>
        <v/>
      </c>
    </row>
    <row r="182" spans="14:14" x14ac:dyDescent="0.2">
      <c r="N182" t="str">
        <f t="shared" si="2"/>
        <v/>
      </c>
    </row>
    <row r="183" spans="14:14" x14ac:dyDescent="0.2">
      <c r="N183" t="str">
        <f t="shared" si="2"/>
        <v/>
      </c>
    </row>
    <row r="184" spans="14:14" x14ac:dyDescent="0.2">
      <c r="N184" t="str">
        <f t="shared" si="2"/>
        <v/>
      </c>
    </row>
    <row r="185" spans="14:14" x14ac:dyDescent="0.2">
      <c r="N185" t="str">
        <f t="shared" si="2"/>
        <v/>
      </c>
    </row>
    <row r="186" spans="14:14" x14ac:dyDescent="0.2">
      <c r="N186" t="str">
        <f t="shared" si="2"/>
        <v/>
      </c>
    </row>
    <row r="187" spans="14:14" x14ac:dyDescent="0.2">
      <c r="N187" t="str">
        <f t="shared" si="2"/>
        <v/>
      </c>
    </row>
    <row r="188" spans="14:14" x14ac:dyDescent="0.2">
      <c r="N188" t="str">
        <f t="shared" si="2"/>
        <v/>
      </c>
    </row>
    <row r="189" spans="14:14" x14ac:dyDescent="0.2">
      <c r="N189" t="str">
        <f t="shared" si="2"/>
        <v/>
      </c>
    </row>
    <row r="190" spans="14:14" x14ac:dyDescent="0.2">
      <c r="N190" t="str">
        <f t="shared" si="2"/>
        <v/>
      </c>
    </row>
    <row r="191" spans="14:14" x14ac:dyDescent="0.2">
      <c r="N191" t="str">
        <f t="shared" si="2"/>
        <v/>
      </c>
    </row>
    <row r="192" spans="14:14" x14ac:dyDescent="0.2">
      <c r="N192" t="str">
        <f t="shared" si="2"/>
        <v/>
      </c>
    </row>
    <row r="193" spans="14:14" x14ac:dyDescent="0.2">
      <c r="N193" t="str">
        <f t="shared" si="2"/>
        <v/>
      </c>
    </row>
    <row r="194" spans="14:14" x14ac:dyDescent="0.2">
      <c r="N194" t="str">
        <f t="shared" ref="N194:N198" si="3">IF(A194 = "","",SUM(B194:M194))</f>
        <v/>
      </c>
    </row>
    <row r="195" spans="14:14" x14ac:dyDescent="0.2">
      <c r="N195" t="str">
        <f t="shared" si="3"/>
        <v/>
      </c>
    </row>
    <row r="196" spans="14:14" x14ac:dyDescent="0.2">
      <c r="N196" t="str">
        <f t="shared" si="3"/>
        <v/>
      </c>
    </row>
    <row r="197" spans="14:14" x14ac:dyDescent="0.2">
      <c r="N197" t="str">
        <f t="shared" si="3"/>
        <v/>
      </c>
    </row>
    <row r="198" spans="14:14" x14ac:dyDescent="0.2">
      <c r="N198" t="str">
        <f t="shared" si="3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757F-8518-4F85-BEA1-B80D5DED2E00}">
  <sheetPr codeName="Sheet95"/>
  <dimension ref="A1:N20"/>
  <sheetViews>
    <sheetView zoomScale="190" zoomScaleNormal="190" workbookViewId="0">
      <selection activeCell="D14" sqref="D14"/>
    </sheetView>
  </sheetViews>
  <sheetFormatPr baseColWidth="10" defaultColWidth="8.83203125" defaultRowHeight="15" x14ac:dyDescent="0.2"/>
  <cols>
    <col min="1" max="1" width="12.1640625" bestFit="1" customWidth="1"/>
    <col min="2" max="4" width="6" bestFit="1" customWidth="1"/>
    <col min="5" max="14" width="10.33203125" bestFit="1" customWidth="1"/>
  </cols>
  <sheetData>
    <row r="1" spans="1:14" x14ac:dyDescent="0.2">
      <c r="A1" t="s">
        <v>0</v>
      </c>
      <c r="B1" s="3" t="s">
        <v>128</v>
      </c>
      <c r="C1" t="s">
        <v>129</v>
      </c>
      <c r="D1" t="s">
        <v>130</v>
      </c>
      <c r="E1" t="s">
        <v>132</v>
      </c>
      <c r="F1" t="s">
        <v>133</v>
      </c>
      <c r="G1" t="s">
        <v>131</v>
      </c>
      <c r="H1" t="s">
        <v>123</v>
      </c>
      <c r="I1" t="s">
        <v>124</v>
      </c>
      <c r="J1" t="s">
        <v>122</v>
      </c>
      <c r="K1" t="s">
        <v>125</v>
      </c>
      <c r="L1" t="s">
        <v>126</v>
      </c>
      <c r="M1" t="s">
        <v>127</v>
      </c>
    </row>
    <row r="2" spans="1:14" x14ac:dyDescent="0.2">
      <c r="A2" t="s">
        <v>72</v>
      </c>
      <c r="B2">
        <f>SUMPRODUCT(Stock!B2:B200,SNum!B2:B200)</f>
        <v>0</v>
      </c>
      <c r="C2">
        <f>SUMPRODUCT(Stock!C2:C200,SNum!C2:C200)</f>
        <v>0</v>
      </c>
      <c r="D2">
        <f>SUMPRODUCT(Stock!D2:D200,SNum!D2:D200)</f>
        <v>0</v>
      </c>
      <c r="E2">
        <f>SUMPRODUCT(Stock!E2:E200,SNum!E2:E200)</f>
        <v>1980.01</v>
      </c>
      <c r="F2">
        <f>SUMPRODUCT(Stock!F2:F200,SNum!F2:F200)</f>
        <v>0</v>
      </c>
      <c r="G2">
        <f>SUMPRODUCT(Stock!G2:G200,SNum!G2:G200)</f>
        <v>0</v>
      </c>
      <c r="H2">
        <f>SUMPRODUCT(Stock!H2:H200,SNum!H2:H200)</f>
        <v>0</v>
      </c>
      <c r="I2">
        <f>SUMPRODUCT(Stock!I2:I200,SNum!I2:I200)</f>
        <v>0</v>
      </c>
      <c r="J2">
        <f>SUMPRODUCT(Stock!J2:J200,SNum!J2:J200)</f>
        <v>0</v>
      </c>
      <c r="K2">
        <f>SUMPRODUCT(Stock!K2:K200,SNum!K2:K200)</f>
        <v>0</v>
      </c>
      <c r="L2">
        <f>SUMPRODUCT(Stock!L2:L200,SNum!L2:L200)</f>
        <v>0</v>
      </c>
      <c r="M2">
        <f>SUMPRODUCT(Stock!M2:M200,SNum!M2:M200)</f>
        <v>0</v>
      </c>
    </row>
    <row r="3" spans="1:14" x14ac:dyDescent="0.2">
      <c r="A3" t="s">
        <v>204</v>
      </c>
      <c r="B3" s="4">
        <f>Investment!O2</f>
        <v>0</v>
      </c>
      <c r="C3" s="4">
        <f>B3+C2</f>
        <v>0</v>
      </c>
      <c r="D3" s="4">
        <f t="shared" ref="D3:M3" si="0">C3+D2</f>
        <v>0</v>
      </c>
      <c r="E3" s="4">
        <f t="shared" si="0"/>
        <v>1980.01</v>
      </c>
      <c r="F3" s="4">
        <f t="shared" si="0"/>
        <v>1980.01</v>
      </c>
      <c r="G3" s="4">
        <f t="shared" si="0"/>
        <v>1980.01</v>
      </c>
      <c r="H3" s="4">
        <f t="shared" si="0"/>
        <v>1980.01</v>
      </c>
      <c r="I3" s="4">
        <f t="shared" si="0"/>
        <v>1980.01</v>
      </c>
      <c r="J3" s="4">
        <f t="shared" si="0"/>
        <v>1980.01</v>
      </c>
      <c r="K3" s="4">
        <f t="shared" si="0"/>
        <v>1980.01</v>
      </c>
      <c r="L3" s="4">
        <f t="shared" si="0"/>
        <v>1980.01</v>
      </c>
      <c r="M3" s="4">
        <f t="shared" si="0"/>
        <v>1980.01</v>
      </c>
    </row>
    <row r="4" spans="1:14" x14ac:dyDescent="0.2">
      <c r="A4" s="72" t="str">
        <f>IF(Stock!A2="","",Stock!A2)</f>
        <v>VAS</v>
      </c>
      <c r="B4" s="4">
        <f>Stock!B2*SNum!B2</f>
        <v>0</v>
      </c>
      <c r="C4" s="4">
        <f>Stock!C2*SNum!C2</f>
        <v>0</v>
      </c>
      <c r="D4" s="4">
        <f>Stock!D2*SNum!D2</f>
        <v>0</v>
      </c>
      <c r="E4" s="4">
        <f>Stock!E2*SNum!E2</f>
        <v>1980.01</v>
      </c>
      <c r="F4" s="4">
        <f>Stock!F2*SNum!F2</f>
        <v>0</v>
      </c>
      <c r="G4" s="4">
        <f>Stock!G2*SNum!G2</f>
        <v>0</v>
      </c>
      <c r="H4" s="4">
        <f>Stock!H2*SNum!H2</f>
        <v>0</v>
      </c>
      <c r="I4" s="4">
        <f>Stock!I2*SNum!I2</f>
        <v>0</v>
      </c>
      <c r="J4" s="4">
        <f>Stock!J2*SNum!J2</f>
        <v>0</v>
      </c>
      <c r="K4" s="4">
        <f>Stock!K2*SNum!K2</f>
        <v>0</v>
      </c>
      <c r="L4" s="4">
        <f>Stock!L2*SNum!L2</f>
        <v>0</v>
      </c>
      <c r="M4" s="4">
        <f>Stock!M2*SNum!M2</f>
        <v>0</v>
      </c>
      <c r="N4" s="3">
        <f>IF(SNum!N2="","",SUMPRODUCT(Stock!B2:M2,SNum!B2:M2))</f>
        <v>1980.01</v>
      </c>
    </row>
    <row r="5" spans="1:14" x14ac:dyDescent="0.2">
      <c r="A5" s="72" t="str">
        <f>IF(Stock!A3="","",Stock!A3)</f>
        <v/>
      </c>
      <c r="B5" s="4">
        <f>Stock!B3*SNum!B3</f>
        <v>0</v>
      </c>
      <c r="C5" s="4">
        <f>Stock!C3*SNum!C3</f>
        <v>0</v>
      </c>
      <c r="D5" s="4">
        <f>Stock!D3*SNum!D3</f>
        <v>0</v>
      </c>
      <c r="E5" s="4">
        <f>Stock!E3*SNum!E3</f>
        <v>0</v>
      </c>
      <c r="F5" s="4">
        <f>Stock!F3*SNum!F3</f>
        <v>0</v>
      </c>
      <c r="G5" s="4">
        <f>Stock!G3*SNum!G3</f>
        <v>0</v>
      </c>
      <c r="H5" s="4">
        <f>Stock!H3*SNum!H3</f>
        <v>0</v>
      </c>
      <c r="I5" s="4">
        <f>Stock!I3*SNum!I3</f>
        <v>0</v>
      </c>
      <c r="J5" s="4">
        <f>Stock!J3*SNum!J3</f>
        <v>0</v>
      </c>
      <c r="K5" s="4">
        <f>Stock!K3*SNum!K3</f>
        <v>0</v>
      </c>
      <c r="L5" s="4">
        <f>Stock!L3*SNum!L3</f>
        <v>0</v>
      </c>
      <c r="M5" s="4">
        <f>Stock!M3*SNum!M3</f>
        <v>0</v>
      </c>
      <c r="N5" s="3" t="str">
        <f>IF(SNum!N3="","",SUMPRODUCT(Stock!B3:M3,SNum!B3:M3))</f>
        <v/>
      </c>
    </row>
    <row r="6" spans="1:14" x14ac:dyDescent="0.2">
      <c r="A6" s="72" t="str">
        <f>IF(Stock!A4="","",Stock!A4)</f>
        <v/>
      </c>
      <c r="B6" s="4">
        <f>Stock!B4*SNum!B4</f>
        <v>0</v>
      </c>
      <c r="C6" s="4">
        <f>Stock!C4*SNum!C4</f>
        <v>0</v>
      </c>
      <c r="D6" s="4">
        <f>Stock!D4*SNum!D4</f>
        <v>0</v>
      </c>
      <c r="E6" s="4">
        <f>Stock!E4*SNum!E4</f>
        <v>0</v>
      </c>
      <c r="F6" s="4">
        <f>Stock!F4*SNum!F4</f>
        <v>0</v>
      </c>
      <c r="G6" s="4">
        <f>Stock!G4*SNum!G4</f>
        <v>0</v>
      </c>
      <c r="H6" s="4">
        <f>Stock!H4*SNum!H4</f>
        <v>0</v>
      </c>
      <c r="I6" s="4">
        <f>Stock!I4*SNum!I4</f>
        <v>0</v>
      </c>
      <c r="J6" s="4">
        <f>Stock!J4*SNum!J4</f>
        <v>0</v>
      </c>
      <c r="K6" s="4">
        <f>Stock!K4*SNum!K4</f>
        <v>0</v>
      </c>
      <c r="L6" s="4">
        <f>Stock!L4*SNum!L4</f>
        <v>0</v>
      </c>
      <c r="M6" s="4">
        <f>Stock!M4*SNum!M4</f>
        <v>0</v>
      </c>
      <c r="N6" s="3" t="str">
        <f>IF(SNum!N4="","",SUMPRODUCT(Stock!B4:M4,SNum!B4:M4))</f>
        <v/>
      </c>
    </row>
    <row r="7" spans="1:14" x14ac:dyDescent="0.2">
      <c r="A7" s="72" t="str">
        <f>IF(Stock!A5="","",Stock!A5)</f>
        <v/>
      </c>
      <c r="B7" s="4">
        <f>Stock!B5*SNum!B5</f>
        <v>0</v>
      </c>
      <c r="C7" s="4">
        <f>Stock!C5*SNum!C5</f>
        <v>0</v>
      </c>
      <c r="D7" s="4">
        <f>Stock!D5*SNum!D5</f>
        <v>0</v>
      </c>
      <c r="E7" s="4">
        <f>Stock!E5*SNum!E5</f>
        <v>0</v>
      </c>
      <c r="F7" s="4">
        <f>Stock!F5*SNum!F5</f>
        <v>0</v>
      </c>
      <c r="G7" s="4">
        <f>Stock!G5*SNum!G5</f>
        <v>0</v>
      </c>
      <c r="H7" s="4">
        <f>Stock!H5*SNum!H5</f>
        <v>0</v>
      </c>
      <c r="I7" s="4">
        <f>Stock!I5*SNum!I5</f>
        <v>0</v>
      </c>
      <c r="J7" s="4">
        <f>Stock!J5*SNum!J5</f>
        <v>0</v>
      </c>
      <c r="K7" s="4">
        <f>Stock!K5*SNum!K5</f>
        <v>0</v>
      </c>
      <c r="L7" s="4">
        <f>Stock!L5*SNum!L5</f>
        <v>0</v>
      </c>
      <c r="M7" s="4">
        <f>Stock!M5*SNum!M5</f>
        <v>0</v>
      </c>
      <c r="N7" s="3" t="str">
        <f>IF(SNum!N5="","",SUMPRODUCT(Stock!B5:M5,SNum!B5:M5))</f>
        <v/>
      </c>
    </row>
    <row r="8" spans="1:14" x14ac:dyDescent="0.2">
      <c r="A8" s="72" t="str">
        <f>IF(Stock!A6="","",Stock!A6)</f>
        <v/>
      </c>
      <c r="B8" s="4">
        <f>Stock!B6*SNum!B6</f>
        <v>0</v>
      </c>
      <c r="C8" s="4">
        <f>Stock!C6*SNum!C6</f>
        <v>0</v>
      </c>
      <c r="D8" s="4">
        <f>Stock!D6*SNum!D6</f>
        <v>0</v>
      </c>
      <c r="E8" s="4">
        <f>Stock!E6*SNum!E6</f>
        <v>0</v>
      </c>
      <c r="F8" s="4">
        <f>Stock!F6*SNum!F6</f>
        <v>0</v>
      </c>
      <c r="G8" s="4">
        <f>Stock!G6*SNum!G6</f>
        <v>0</v>
      </c>
      <c r="H8" s="4">
        <f>Stock!H6*SNum!H6</f>
        <v>0</v>
      </c>
      <c r="I8" s="4">
        <f>Stock!I6*SNum!I6</f>
        <v>0</v>
      </c>
      <c r="J8" s="4">
        <f>Stock!J6*SNum!J6</f>
        <v>0</v>
      </c>
      <c r="K8" s="4">
        <f>Stock!K6*SNum!K6</f>
        <v>0</v>
      </c>
      <c r="L8" s="4">
        <f>Stock!L6*SNum!L6</f>
        <v>0</v>
      </c>
      <c r="M8" s="4">
        <f>Stock!M6*SNum!M6</f>
        <v>0</v>
      </c>
      <c r="N8" s="3" t="str">
        <f>IF(SNum!N6="","",SUMPRODUCT(Stock!B6:M6,SNum!B6:M6))</f>
        <v/>
      </c>
    </row>
    <row r="9" spans="1:14" x14ac:dyDescent="0.2">
      <c r="A9" s="72" t="str">
        <f>IF(Stock!A7="","",Stock!A7)</f>
        <v/>
      </c>
      <c r="B9" s="4">
        <f>Stock!B7*SNum!B7</f>
        <v>0</v>
      </c>
      <c r="C9" s="4">
        <f>Stock!C7*SNum!C7</f>
        <v>0</v>
      </c>
      <c r="D9" s="4">
        <f>Stock!D7*SNum!D7</f>
        <v>0</v>
      </c>
      <c r="E9" s="4">
        <f>Stock!E7*SNum!E7</f>
        <v>0</v>
      </c>
      <c r="F9" s="4">
        <f>Stock!F7*SNum!F7</f>
        <v>0</v>
      </c>
      <c r="G9" s="4">
        <f>Stock!G7*SNum!G7</f>
        <v>0</v>
      </c>
      <c r="H9" s="4">
        <f>Stock!H7*SNum!H7</f>
        <v>0</v>
      </c>
      <c r="I9" s="4">
        <f>Stock!I7*SNum!I7</f>
        <v>0</v>
      </c>
      <c r="J9" s="4">
        <f>Stock!J7*SNum!J7</f>
        <v>0</v>
      </c>
      <c r="K9" s="4">
        <f>Stock!K7*SNum!K7</f>
        <v>0</v>
      </c>
      <c r="L9" s="4">
        <f>Stock!L7*SNum!L7</f>
        <v>0</v>
      </c>
      <c r="M9" s="4">
        <f>Stock!M7*SNum!M7</f>
        <v>0</v>
      </c>
      <c r="N9" s="3" t="str">
        <f>IF(SNum!N7="","",SUMPRODUCT(Stock!B7:M7,SNum!B7:M7))</f>
        <v/>
      </c>
    </row>
    <row r="10" spans="1:14" x14ac:dyDescent="0.2">
      <c r="A10" s="72" t="str">
        <f>IF(Stock!A8="","",Stock!A8)</f>
        <v/>
      </c>
      <c r="B10" s="4">
        <f>Stock!B8*SNum!B8</f>
        <v>0</v>
      </c>
      <c r="C10" s="4">
        <f>Stock!C8*SNum!C8</f>
        <v>0</v>
      </c>
      <c r="D10" s="4">
        <f>Stock!D8*SNum!D8</f>
        <v>0</v>
      </c>
      <c r="E10" s="4">
        <f>Stock!E8*SNum!E8</f>
        <v>0</v>
      </c>
      <c r="F10" s="4">
        <f>Stock!F8*SNum!F8</f>
        <v>0</v>
      </c>
      <c r="G10" s="4">
        <f>Stock!G8*SNum!G8</f>
        <v>0</v>
      </c>
      <c r="H10" s="4">
        <f>Stock!H8*SNum!H8</f>
        <v>0</v>
      </c>
      <c r="I10" s="4">
        <f>Stock!I8*SNum!I8</f>
        <v>0</v>
      </c>
      <c r="J10" s="4">
        <f>Stock!J8*SNum!J8</f>
        <v>0</v>
      </c>
      <c r="K10" s="4">
        <f>Stock!K8*SNum!K8</f>
        <v>0</v>
      </c>
      <c r="L10" s="4">
        <f>Stock!L8*SNum!L8</f>
        <v>0</v>
      </c>
      <c r="M10" s="4">
        <f>Stock!M8*SNum!M8</f>
        <v>0</v>
      </c>
      <c r="N10" s="3" t="str">
        <f>IF(SNum!N8="","",SUMPRODUCT(Stock!B8:M8,SNum!B8:M8))</f>
        <v/>
      </c>
    </row>
    <row r="11" spans="1:14" x14ac:dyDescent="0.2">
      <c r="A11" s="72" t="str">
        <f>IF(Stock!A9="","",Stock!A9)</f>
        <v/>
      </c>
      <c r="B11" s="4">
        <f>Stock!B9*SNum!B9</f>
        <v>0</v>
      </c>
      <c r="C11" s="4">
        <f>Stock!C9*SNum!C9</f>
        <v>0</v>
      </c>
      <c r="D11" s="4">
        <f>Stock!D9*SNum!D9</f>
        <v>0</v>
      </c>
      <c r="E11" s="4">
        <f>Stock!E9*SNum!E9</f>
        <v>0</v>
      </c>
      <c r="F11" s="4">
        <f>Stock!F9*SNum!F9</f>
        <v>0</v>
      </c>
      <c r="G11" s="4">
        <f>Stock!G9*SNum!G9</f>
        <v>0</v>
      </c>
      <c r="H11" s="4">
        <f>Stock!H9*SNum!H9</f>
        <v>0</v>
      </c>
      <c r="I11" s="4">
        <f>Stock!I9*SNum!I9</f>
        <v>0</v>
      </c>
      <c r="J11" s="4">
        <f>Stock!J9*SNum!J9</f>
        <v>0</v>
      </c>
      <c r="K11" s="4">
        <f>Stock!K9*SNum!K9</f>
        <v>0</v>
      </c>
      <c r="L11" s="4">
        <f>Stock!L9*SNum!L9</f>
        <v>0</v>
      </c>
      <c r="M11" s="4">
        <f>Stock!M9*SNum!M9</f>
        <v>0</v>
      </c>
      <c r="N11" s="3" t="str">
        <f>IF(SNum!N9="","",SUMPRODUCT(Stock!B9:M9,SNum!B9:M9))</f>
        <v/>
      </c>
    </row>
    <row r="12" spans="1:14" x14ac:dyDescent="0.2">
      <c r="A12" s="72" t="str">
        <f>IF(Stock!A10="","",Stock!A10)</f>
        <v/>
      </c>
      <c r="B12" s="4">
        <f>Stock!B10*SNum!B10</f>
        <v>0</v>
      </c>
      <c r="C12" s="4">
        <f>Stock!C10*SNum!C10</f>
        <v>0</v>
      </c>
      <c r="D12" s="4">
        <f>Stock!D10*SNum!D10</f>
        <v>0</v>
      </c>
      <c r="E12" s="4">
        <f>Stock!E10*SNum!E10</f>
        <v>0</v>
      </c>
      <c r="F12" s="4">
        <f>Stock!F10*SNum!F10</f>
        <v>0</v>
      </c>
      <c r="G12" s="4">
        <f>Stock!G10*SNum!G10</f>
        <v>0</v>
      </c>
      <c r="H12" s="4">
        <f>Stock!H10*SNum!H10</f>
        <v>0</v>
      </c>
      <c r="I12" s="4">
        <f>Stock!I10*SNum!I10</f>
        <v>0</v>
      </c>
      <c r="J12" s="4">
        <f>Stock!J10*SNum!J10</f>
        <v>0</v>
      </c>
      <c r="K12" s="4">
        <f>Stock!K10*SNum!K10</f>
        <v>0</v>
      </c>
      <c r="L12" s="4">
        <f>Stock!L10*SNum!L10</f>
        <v>0</v>
      </c>
      <c r="M12" s="4">
        <f>Stock!M10*SNum!M10</f>
        <v>0</v>
      </c>
      <c r="N12" s="3" t="str">
        <f>IF(SNum!N10="","",SUMPRODUCT(Stock!B10:M10,SNum!B10:M10))</f>
        <v/>
      </c>
    </row>
    <row r="13" spans="1:14" x14ac:dyDescent="0.2">
      <c r="A13" s="72" t="str">
        <f>IF(Stock!A11="","",Stock!A11)</f>
        <v/>
      </c>
      <c r="B13" s="4">
        <f>Stock!B11*SNum!B11</f>
        <v>0</v>
      </c>
      <c r="C13" s="4">
        <f>Stock!C11*SNum!C11</f>
        <v>0</v>
      </c>
      <c r="D13" s="4">
        <f>Stock!D11*SNum!D11</f>
        <v>0</v>
      </c>
      <c r="E13" s="4">
        <f>Stock!E11*SNum!E11</f>
        <v>0</v>
      </c>
      <c r="F13" s="4">
        <f>Stock!F11*SNum!F11</f>
        <v>0</v>
      </c>
      <c r="G13" s="4">
        <f>Stock!G11*SNum!G11</f>
        <v>0</v>
      </c>
      <c r="H13" s="4">
        <f>Stock!H11*SNum!H11</f>
        <v>0</v>
      </c>
      <c r="I13" s="4">
        <f>Stock!I11*SNum!I11</f>
        <v>0</v>
      </c>
      <c r="J13" s="4">
        <f>Stock!J11*SNum!J11</f>
        <v>0</v>
      </c>
      <c r="K13" s="4">
        <f>Stock!K11*SNum!K11</f>
        <v>0</v>
      </c>
      <c r="L13" s="4">
        <f>Stock!L11*SNum!L11</f>
        <v>0</v>
      </c>
      <c r="M13" s="4">
        <f>Stock!M11*SNum!M11</f>
        <v>0</v>
      </c>
      <c r="N13" s="3" t="str">
        <f>IF(SNum!N11="","",SUMPRODUCT(Stock!B11:M11,SNum!B11:M11))</f>
        <v/>
      </c>
    </row>
    <row r="14" spans="1:14" x14ac:dyDescent="0.2">
      <c r="A14" s="72" t="str">
        <f>IF(Stock!A12="","",Stock!A12)</f>
        <v/>
      </c>
      <c r="B14" s="4">
        <f>Stock!B12*SNum!B12</f>
        <v>0</v>
      </c>
      <c r="C14" s="4">
        <f>Stock!C12*SNum!C12</f>
        <v>0</v>
      </c>
      <c r="D14" s="4">
        <f>Stock!D12*SNum!D12</f>
        <v>0</v>
      </c>
      <c r="E14" s="4">
        <f>Stock!E12*SNum!E12</f>
        <v>0</v>
      </c>
      <c r="F14" s="4">
        <f>Stock!F12*SNum!F12</f>
        <v>0</v>
      </c>
      <c r="G14" s="4">
        <f>Stock!G12*SNum!G12</f>
        <v>0</v>
      </c>
      <c r="H14" s="4">
        <f>Stock!H12*SNum!H12</f>
        <v>0</v>
      </c>
      <c r="I14" s="4">
        <f>Stock!I12*SNum!I12</f>
        <v>0</v>
      </c>
      <c r="J14" s="4">
        <f>Stock!J12*SNum!J12</f>
        <v>0</v>
      </c>
      <c r="K14" s="4">
        <f>Stock!K12*SNum!K12</f>
        <v>0</v>
      </c>
      <c r="L14" s="4">
        <f>Stock!L12*SNum!L12</f>
        <v>0</v>
      </c>
      <c r="M14" s="4">
        <f>Stock!M12*SNum!M12</f>
        <v>0</v>
      </c>
      <c r="N14" s="3" t="str">
        <f>IF(SNum!N12="","",SUMPRODUCT(Stock!B12:M12,SNum!B12:M12))</f>
        <v/>
      </c>
    </row>
    <row r="15" spans="1:14" x14ac:dyDescent="0.2">
      <c r="A15" s="72" t="str">
        <f>IF(Stock!A13="","",Stock!A13)</f>
        <v/>
      </c>
      <c r="B15" s="4">
        <f>Stock!B13*SNum!B13</f>
        <v>0</v>
      </c>
      <c r="C15" s="4">
        <f>Stock!C13*SNum!C13</f>
        <v>0</v>
      </c>
      <c r="D15" s="4">
        <f>Stock!D13*SNum!D13</f>
        <v>0</v>
      </c>
      <c r="E15" s="4">
        <f>Stock!E13*SNum!E13</f>
        <v>0</v>
      </c>
      <c r="F15" s="4">
        <f>Stock!F13*SNum!F13</f>
        <v>0</v>
      </c>
      <c r="G15" s="4">
        <f>Stock!G13*SNum!G13</f>
        <v>0</v>
      </c>
      <c r="H15" s="4">
        <f>Stock!H13*SNum!H13</f>
        <v>0</v>
      </c>
      <c r="I15" s="4">
        <f>Stock!I13*SNum!I13</f>
        <v>0</v>
      </c>
      <c r="J15" s="4">
        <f>Stock!J13*SNum!J13</f>
        <v>0</v>
      </c>
      <c r="K15" s="4">
        <f>Stock!K13*SNum!K13</f>
        <v>0</v>
      </c>
      <c r="L15" s="4">
        <f>Stock!L13*SNum!L13</f>
        <v>0</v>
      </c>
      <c r="M15" s="4">
        <f>Stock!M13*SNum!M13</f>
        <v>0</v>
      </c>
      <c r="N15" s="3" t="str">
        <f>IF(SNum!N13="","",SUMPRODUCT(Stock!B13:M13,SNum!B13:M13))</f>
        <v/>
      </c>
    </row>
    <row r="16" spans="1:14" x14ac:dyDescent="0.2">
      <c r="A16" s="72" t="str">
        <f>IF(Stock!A14="","",Stock!A14)</f>
        <v/>
      </c>
      <c r="B16" s="4">
        <f>Stock!B14*SNum!B14</f>
        <v>0</v>
      </c>
      <c r="C16" s="4">
        <f>Stock!C14*SNum!C14</f>
        <v>0</v>
      </c>
      <c r="D16" s="4">
        <f>Stock!D14*SNum!D14</f>
        <v>0</v>
      </c>
      <c r="E16" s="4">
        <f>Stock!E14*SNum!E14</f>
        <v>0</v>
      </c>
      <c r="F16" s="4">
        <f>Stock!F14*SNum!F14</f>
        <v>0</v>
      </c>
      <c r="G16" s="4">
        <f>Stock!G14*SNum!G14</f>
        <v>0</v>
      </c>
      <c r="H16" s="4">
        <f>Stock!H14*SNum!H14</f>
        <v>0</v>
      </c>
      <c r="I16" s="4">
        <f>Stock!I14*SNum!I14</f>
        <v>0</v>
      </c>
      <c r="J16" s="4">
        <f>Stock!J14*SNum!J14</f>
        <v>0</v>
      </c>
      <c r="K16" s="4">
        <f>Stock!K14*SNum!K14</f>
        <v>0</v>
      </c>
      <c r="L16" s="4">
        <f>Stock!L14*SNum!L14</f>
        <v>0</v>
      </c>
      <c r="M16" s="4">
        <f>Stock!M14*SNum!M14</f>
        <v>0</v>
      </c>
      <c r="N16" s="3" t="str">
        <f>IF(SNum!N14="","",SUMPRODUCT(Stock!B14:M14,SNum!B14:M14))</f>
        <v/>
      </c>
    </row>
    <row r="17" spans="1:14" x14ac:dyDescent="0.2">
      <c r="A17" s="72" t="str">
        <f>IF(Stock!A15="","",Stock!A15)</f>
        <v/>
      </c>
      <c r="B17" s="4">
        <f>Stock!B15*SNum!B15</f>
        <v>0</v>
      </c>
      <c r="C17" s="4">
        <f>Stock!C15*SNum!C15</f>
        <v>0</v>
      </c>
      <c r="D17" s="4">
        <f>Stock!D15*SNum!D15</f>
        <v>0</v>
      </c>
      <c r="E17" s="4">
        <f>Stock!E15*SNum!E15</f>
        <v>0</v>
      </c>
      <c r="F17" s="4">
        <f>Stock!F15*SNum!F15</f>
        <v>0</v>
      </c>
      <c r="G17" s="4">
        <f>Stock!G15*SNum!G15</f>
        <v>0</v>
      </c>
      <c r="H17" s="4">
        <f>Stock!H15*SNum!H15</f>
        <v>0</v>
      </c>
      <c r="I17" s="4">
        <f>Stock!I15*SNum!I15</f>
        <v>0</v>
      </c>
      <c r="J17" s="4">
        <f>Stock!J15*SNum!J15</f>
        <v>0</v>
      </c>
      <c r="K17" s="4">
        <f>Stock!K15*SNum!K15</f>
        <v>0</v>
      </c>
      <c r="L17" s="4">
        <f>Stock!L15*SNum!L15</f>
        <v>0</v>
      </c>
      <c r="M17" s="4">
        <f>Stock!M15*SNum!M15</f>
        <v>0</v>
      </c>
      <c r="N17" s="3" t="str">
        <f>IF(SNum!N15="","",SUMPRODUCT(Stock!B15:M15,SNum!B15:M15))</f>
        <v/>
      </c>
    </row>
    <row r="18" spans="1:14" x14ac:dyDescent="0.2">
      <c r="A18" s="72" t="str">
        <f>IF(Stock!A16="","",Stock!A16)</f>
        <v/>
      </c>
      <c r="B18" s="4">
        <f>Stock!B16*SNum!B16</f>
        <v>0</v>
      </c>
      <c r="C18" s="4">
        <f>Stock!C16*SNum!C16</f>
        <v>0</v>
      </c>
      <c r="D18" s="4">
        <f>Stock!D16*SNum!D16</f>
        <v>0</v>
      </c>
      <c r="E18" s="4">
        <f>Stock!E16*SNum!E16</f>
        <v>0</v>
      </c>
      <c r="F18" s="4">
        <f>Stock!F16*SNum!F16</f>
        <v>0</v>
      </c>
      <c r="G18" s="4">
        <f>Stock!G16*SNum!G16</f>
        <v>0</v>
      </c>
      <c r="H18" s="4">
        <f>Stock!H16*SNum!H16</f>
        <v>0</v>
      </c>
      <c r="I18" s="4">
        <f>Stock!I16*SNum!I16</f>
        <v>0</v>
      </c>
      <c r="J18" s="4">
        <f>Stock!J16*SNum!J16</f>
        <v>0</v>
      </c>
      <c r="K18" s="4">
        <f>Stock!K16*SNum!K16</f>
        <v>0</v>
      </c>
      <c r="L18" s="4">
        <f>Stock!L16*SNum!L16</f>
        <v>0</v>
      </c>
      <c r="M18" s="4">
        <f>Stock!M16*SNum!M16</f>
        <v>0</v>
      </c>
      <c r="N18" s="3" t="str">
        <f>IF(SNum!N16="","",SUMPRODUCT(Stock!B16:M16,SNum!B16:M16))</f>
        <v/>
      </c>
    </row>
    <row r="19" spans="1:14" x14ac:dyDescent="0.2">
      <c r="A19" s="72" t="str">
        <f>IF(Stock!A17="","",Stock!A17)</f>
        <v/>
      </c>
      <c r="B19" s="4">
        <f>Stock!B17*SNum!B17</f>
        <v>0</v>
      </c>
      <c r="C19" s="4">
        <f>Stock!C17*SNum!C17</f>
        <v>0</v>
      </c>
      <c r="D19" s="4">
        <f>Stock!D17*SNum!D17</f>
        <v>0</v>
      </c>
      <c r="E19" s="4">
        <f>Stock!E17*SNum!E17</f>
        <v>0</v>
      </c>
      <c r="F19" s="4">
        <f>Stock!F17*SNum!F17</f>
        <v>0</v>
      </c>
      <c r="G19" s="4">
        <f>Stock!G17*SNum!G17</f>
        <v>0</v>
      </c>
      <c r="H19" s="4">
        <f>Stock!H17*SNum!H17</f>
        <v>0</v>
      </c>
      <c r="I19" s="4">
        <f>Stock!I17*SNum!I17</f>
        <v>0</v>
      </c>
      <c r="J19" s="4">
        <f>Stock!J17*SNum!J17</f>
        <v>0</v>
      </c>
      <c r="K19" s="4">
        <f>Stock!K17*SNum!K17</f>
        <v>0</v>
      </c>
      <c r="L19" s="4">
        <f>Stock!L17*SNum!L17</f>
        <v>0</v>
      </c>
      <c r="M19" s="4">
        <f>Stock!M17*SNum!M17</f>
        <v>0</v>
      </c>
      <c r="N19" s="3" t="str">
        <f>IF(SNum!N17="","",SUMPRODUCT(Stock!B17:M17,SNum!B17:M17))</f>
        <v/>
      </c>
    </row>
    <row r="20" spans="1:14" x14ac:dyDescent="0.2">
      <c r="A20" s="72" t="str">
        <f>IF(Stock!A18="","",Stock!A18)</f>
        <v/>
      </c>
      <c r="B20" s="4">
        <f>Stock!B18*SNum!B18</f>
        <v>0</v>
      </c>
      <c r="C20" s="4">
        <f>Stock!C18*SNum!C18</f>
        <v>0</v>
      </c>
      <c r="D20" s="4">
        <f>Stock!D18*SNum!D18</f>
        <v>0</v>
      </c>
      <c r="E20" s="4">
        <f>Stock!E18*SNum!E18</f>
        <v>0</v>
      </c>
      <c r="F20" s="4">
        <f>Stock!F18*SNum!F18</f>
        <v>0</v>
      </c>
      <c r="G20" s="4">
        <f>Stock!G18*SNum!G18</f>
        <v>0</v>
      </c>
      <c r="H20" s="4">
        <f>Stock!H18*SNum!H18</f>
        <v>0</v>
      </c>
      <c r="I20" s="4">
        <f>Stock!I18*SNum!I18</f>
        <v>0</v>
      </c>
      <c r="J20" s="4">
        <f>Stock!J18*SNum!J18</f>
        <v>0</v>
      </c>
      <c r="K20" s="4">
        <f>Stock!K18*SNum!K18</f>
        <v>0</v>
      </c>
      <c r="L20" s="4">
        <f>Stock!L18*SNum!L18</f>
        <v>0</v>
      </c>
      <c r="M20" s="4">
        <f>Stock!M18*SNum!M18</f>
        <v>0</v>
      </c>
      <c r="N20" s="3" t="str">
        <f>IF(SNum!N18="","",SUMPRODUCT(Stock!B18:M18,SNum!B18:M18))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CalcExp">
                <anchor moveWithCells="1" sizeWithCells="1">
                  <from>
                    <xdr:col>12</xdr:col>
                    <xdr:colOff>50800</xdr:colOff>
                    <xdr:row>2</xdr:row>
                    <xdr:rowOff>0</xdr:rowOff>
                  </from>
                  <to>
                    <xdr:col>13</xdr:col>
                    <xdr:colOff>25400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FPosition</vt:lpstr>
      <vt:lpstr>Westpac</vt:lpstr>
      <vt:lpstr>Westpac Saving</vt:lpstr>
      <vt:lpstr>Westpac Cash</vt:lpstr>
      <vt:lpstr>Investment</vt:lpstr>
      <vt:lpstr>Citibank</vt:lpstr>
      <vt:lpstr>Raiz</vt:lpstr>
      <vt:lpstr>Salary</vt:lpstr>
      <vt:lpstr>Tax</vt:lpstr>
      <vt:lpstr>Calculations</vt:lpstr>
      <vt:lpstr>Stock</vt:lpstr>
      <vt:lpstr>SNum</vt:lpstr>
      <vt:lpstr>Statistic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Microsoft Office User</cp:lastModifiedBy>
  <dcterms:created xsi:type="dcterms:W3CDTF">2017-01-28T03:57:13Z</dcterms:created>
  <dcterms:modified xsi:type="dcterms:W3CDTF">2019-01-28T05:46:44Z</dcterms:modified>
</cp:coreProperties>
</file>